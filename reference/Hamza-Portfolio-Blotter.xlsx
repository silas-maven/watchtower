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" sheetId="1" r:id="rId5"/>
    <sheet state="visible" name="Average Price Calculator" sheetId="2" r:id="rId6"/>
    <sheet state="visible" name="Virtual Portfolio" sheetId="3" r:id="rId7"/>
    <sheet state="visible" name="Virtual Average Price Calculato" sheetId="4" r:id="rId8"/>
    <sheet state="visible" name="Closed Positions" sheetId="5" r:id="rId9"/>
  </sheets>
  <definedNames/>
  <calcPr/>
</workbook>
</file>

<file path=xl/sharedStrings.xml><?xml version="1.0" encoding="utf-8"?>
<sst xmlns="http://schemas.openxmlformats.org/spreadsheetml/2006/main" count="721" uniqueCount="126">
  <si>
    <t>Portfolio Size</t>
  </si>
  <si>
    <t>Maximum budget per stock</t>
  </si>
  <si>
    <t>Min Entry Size</t>
  </si>
  <si>
    <t>No ETFs/Reits</t>
  </si>
  <si>
    <t>5 Stocks</t>
  </si>
  <si>
    <t>Amount Invested</t>
  </si>
  <si>
    <t>Invested Value</t>
  </si>
  <si>
    <t>Portfolio Return</t>
  </si>
  <si>
    <t>Portfolio Cash</t>
  </si>
  <si>
    <t>Look out for Big red number in this column</t>
  </si>
  <si>
    <t>Master Watchlist</t>
  </si>
  <si>
    <t>&lt;=== How to spend the £1000 HL</t>
  </si>
  <si>
    <t>&lt;=== How to spend the £500</t>
  </si>
  <si>
    <t xml:space="preserve">Ticker </t>
  </si>
  <si>
    <t xml:space="preserve">Name </t>
  </si>
  <si>
    <t>Reason for Entry</t>
  </si>
  <si>
    <t>Current Price</t>
  </si>
  <si>
    <t>Trading 212/Freetrade entry price</t>
  </si>
  <si>
    <t>Average Entry Price</t>
  </si>
  <si>
    <t>Number of Shares</t>
  </si>
  <si>
    <t>Current Cost</t>
  </si>
  <si>
    <t>Current Value</t>
  </si>
  <si>
    <t>% Weight of Portfolio</t>
  </si>
  <si>
    <t>Current Return (%)</t>
  </si>
  <si>
    <t>30 Day  Trend Chart</t>
  </si>
  <si>
    <t>Ccy</t>
  </si>
  <si>
    <t>Daily Change (%)</t>
  </si>
  <si>
    <t>Daily Change</t>
  </si>
  <si>
    <t>Daily High</t>
  </si>
  <si>
    <t>Daily Low</t>
  </si>
  <si>
    <t>Range/ yest close</t>
  </si>
  <si>
    <t>Price/ year low</t>
  </si>
  <si>
    <t>Target Entry for Averaging</t>
  </si>
  <si>
    <t>Target Exit</t>
  </si>
  <si>
    <t>Trade Alert</t>
  </si>
  <si>
    <t>TRADE ALERT</t>
  </si>
  <si>
    <t>beta</t>
  </si>
  <si>
    <t>low52</t>
  </si>
  <si>
    <t>high52</t>
  </si>
  <si>
    <t>volume avg</t>
  </si>
  <si>
    <t>pe</t>
  </si>
  <si>
    <t>datadelay</t>
  </si>
  <si>
    <t>marketcap</t>
  </si>
  <si>
    <t>Closeyest</t>
  </si>
  <si>
    <t>SPCE</t>
  </si>
  <si>
    <t>JMIA</t>
  </si>
  <si>
    <t>TOOP</t>
  </si>
  <si>
    <t>RGB</t>
  </si>
  <si>
    <t>KODK</t>
  </si>
  <si>
    <t>Watchlist Favourites</t>
  </si>
  <si>
    <t>Watch Reason</t>
  </si>
  <si>
    <t>Use this sheet to track but also to see what your new average price will be if you were to add a new investment e.g. if you only have 2 Trades, fill in a line for trade 3 and you will see new average price</t>
  </si>
  <si>
    <t>EXAMPLE</t>
  </si>
  <si>
    <t>DO NOT USE</t>
  </si>
  <si>
    <t>GBPUSD</t>
  </si>
  <si>
    <t>SNAP</t>
  </si>
  <si>
    <t>Position Size Limit</t>
  </si>
  <si>
    <t>AML</t>
  </si>
  <si>
    <t>Price</t>
  </si>
  <si>
    <t>Value</t>
  </si>
  <si>
    <t>SIZE</t>
  </si>
  <si>
    <t>SIZE ($)</t>
  </si>
  <si>
    <t>Size (GBP)</t>
  </si>
  <si>
    <t>Trade 1</t>
  </si>
  <si>
    <t>Trade 2</t>
  </si>
  <si>
    <t>Trade 3</t>
  </si>
  <si>
    <t>Trade 4</t>
  </si>
  <si>
    <t>Average Price</t>
  </si>
  <si>
    <t>toop</t>
  </si>
  <si>
    <t>Budget</t>
  </si>
  <si>
    <t>TED</t>
  </si>
  <si>
    <t>Value (USD)</t>
  </si>
  <si>
    <t>MERI</t>
  </si>
  <si>
    <t>MKS</t>
  </si>
  <si>
    <t>GBPEUR</t>
  </si>
  <si>
    <t>spce</t>
  </si>
  <si>
    <t>Value (EUR)</t>
  </si>
  <si>
    <t>SIZE (EUR)</t>
  </si>
  <si>
    <t>SONO</t>
  </si>
  <si>
    <t>BRKB</t>
  </si>
  <si>
    <t>IDEX</t>
  </si>
  <si>
    <t>TSE:VIVO</t>
  </si>
  <si>
    <t>Size (CAD)</t>
  </si>
  <si>
    <t>Size GB</t>
  </si>
  <si>
    <t>GBPCAD</t>
  </si>
  <si>
    <t>HSBA</t>
  </si>
  <si>
    <t>Comments</t>
  </si>
  <si>
    <t>VLS</t>
  </si>
  <si>
    <t>Budget per Stock</t>
  </si>
  <si>
    <t>2 ETFs/Reits - £1k each</t>
  </si>
  <si>
    <t>8 Stocks at £1k each</t>
  </si>
  <si>
    <t>&lt;=== How to spend the £1000</t>
  </si>
  <si>
    <t xml:space="preserve">Average Entry Price </t>
  </si>
  <si>
    <t>Change</t>
  </si>
  <si>
    <t>High</t>
  </si>
  <si>
    <t>Low</t>
  </si>
  <si>
    <t>Recovery</t>
  </si>
  <si>
    <t>MANU</t>
  </si>
  <si>
    <t>UCL Boost</t>
  </si>
  <si>
    <t>CWBR</t>
  </si>
  <si>
    <t>HZD</t>
  </si>
  <si>
    <t>TIT</t>
  </si>
  <si>
    <t>OMG</t>
  </si>
  <si>
    <t>GNUS</t>
  </si>
  <si>
    <t>CPE</t>
  </si>
  <si>
    <t>LLOY</t>
  </si>
  <si>
    <t>KO</t>
  </si>
  <si>
    <t>DIS</t>
  </si>
  <si>
    <t>NKE</t>
  </si>
  <si>
    <t>PEP</t>
  </si>
  <si>
    <t>Hargreaves Lans</t>
  </si>
  <si>
    <t>BUDGET</t>
  </si>
  <si>
    <t>SIZE (USD)</t>
  </si>
  <si>
    <t>Manchester United PLC</t>
  </si>
  <si>
    <t>Trading 212</t>
  </si>
  <si>
    <t>EB</t>
  </si>
  <si>
    <t>ETR:WDI</t>
  </si>
  <si>
    <t>Stock Name</t>
  </si>
  <si>
    <t>Total Number of Shares</t>
  </si>
  <si>
    <t>Investment Value</t>
  </si>
  <si>
    <t>Exit Price</t>
  </si>
  <si>
    <t>Return (%)</t>
  </si>
  <si>
    <t>Profit</t>
  </si>
  <si>
    <t xml:space="preserve">Reasons </t>
  </si>
  <si>
    <t>Hemogeny Pharmaceuticals PLC</t>
  </si>
  <si>
    <t>Target price hit, will buy back at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</si>
</sst>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-809]#,##0.00"/>
    <numFmt numFmtId="165" formatCode="&quot;£&quot;#,##0"/>
    <numFmt numFmtId="166" formatCode="[$$]#,##0.00"/>
    <numFmt numFmtId="167" formatCode="[$£-809]#,##0"/>
  </numFmts>
  <fonts count="38">
    <font>
      <sz val="10.0"/>
      <color rgb="FF000000"/>
      <name val="Arial"/>
      <scheme val="minor"/>
    </font>
    <font>
      <b/>
      <sz val="14.0"/>
      <color rgb="FFFFFFFF"/>
      <name val="Arial"/>
    </font>
    <font>
      <b/>
      <sz val="14.0"/>
      <color theme="1"/>
      <name val="Arial"/>
    </font>
    <font>
      <b/>
      <sz val="14.0"/>
      <color rgb="FF0000FF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u/>
      <sz val="14.0"/>
      <color rgb="FF1155CC"/>
      <name val="Arial"/>
    </font>
    <font>
      <color rgb="FF0000FF"/>
      <name val="Arial"/>
    </font>
    <font>
      <b/>
      <sz val="14.0"/>
      <color rgb="FFFFFFFF"/>
      <name val="Arial"/>
      <scheme val="minor"/>
    </font>
    <font>
      <b/>
      <sz val="14.0"/>
      <color rgb="FFFFFFFF"/>
      <name val="Calibri"/>
    </font>
    <font>
      <sz val="11.0"/>
      <color rgb="FF000000"/>
      <name val="Inconsolata"/>
    </font>
    <font>
      <sz val="11.0"/>
      <color rgb="FF000000"/>
      <name val="Calibri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Inconsolata"/>
    </font>
    <font>
      <b/>
      <sz val="11.0"/>
      <color rgb="FF000000"/>
      <name val="Calibri"/>
    </font>
    <font>
      <b/>
      <color rgb="FFFFFFFF"/>
      <name val="Arial"/>
      <scheme val="minor"/>
    </font>
    <font>
      <color rgb="FFFF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2060"/>
        <bgColor rgb="FF002060"/>
      </patternFill>
    </fill>
    <fill>
      <patternFill patternType="solid">
        <fgColor rgb="FF990000"/>
        <bgColor rgb="FF99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D666"/>
        <bgColor rgb="FFFFD666"/>
      </patternFill>
    </fill>
    <fill>
      <patternFill patternType="solid">
        <fgColor rgb="FF0B5394"/>
        <bgColor rgb="FF0B5394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/>
      <top style="thin">
        <color rgb="FF000000"/>
      </top>
    </border>
    <border>
      <right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</border>
    <border>
      <left style="thick">
        <color rgb="FF000000"/>
      </left>
    </border>
    <border>
      <right style="thick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bottom"/>
    </xf>
    <xf borderId="1" fillId="2" fontId="1" numFmtId="164" xfId="0" applyAlignment="1" applyBorder="1" applyFont="1" applyNumberFormat="1">
      <alignment horizontal="center" readingOrder="0" vertical="bottom"/>
    </xf>
    <xf borderId="1" fillId="3" fontId="2" numFmtId="0" xfId="0" applyAlignment="1" applyBorder="1" applyFill="1" applyFont="1">
      <alignment horizontal="center" readingOrder="0" shrinkToFit="0" vertical="bottom" wrapText="1"/>
    </xf>
    <xf borderId="1" fillId="3" fontId="2" numFmtId="165" xfId="0" applyAlignment="1" applyBorder="1" applyFont="1" applyNumberFormat="1">
      <alignment horizontal="center" readingOrder="0" vertical="bottom"/>
    </xf>
    <xf borderId="1" fillId="4" fontId="2" numFmtId="0" xfId="0" applyAlignment="1" applyBorder="1" applyFill="1" applyFont="1">
      <alignment horizontal="center" shrinkToFit="0" vertical="bottom" wrapText="1"/>
    </xf>
    <xf borderId="1" fillId="4" fontId="2" numFmtId="165" xfId="0" applyAlignment="1" applyBorder="1" applyFont="1" applyNumberFormat="1">
      <alignment horizontal="center" readingOrder="0" vertical="bottom"/>
    </xf>
    <xf borderId="1" fillId="5" fontId="2" numFmtId="0" xfId="0" applyAlignment="1" applyBorder="1" applyFill="1" applyFont="1">
      <alignment horizontal="center" readingOrder="0" shrinkToFit="0" vertical="bottom" wrapText="1"/>
    </xf>
    <xf borderId="1" fillId="5" fontId="2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shrinkToFit="0" vertical="bottom" wrapText="1"/>
    </xf>
    <xf borderId="1" fillId="6" fontId="3" numFmtId="0" xfId="0" applyAlignment="1" applyBorder="1" applyFill="1" applyFont="1">
      <alignment horizontal="center" readingOrder="0" shrinkToFit="0" vertical="bottom" wrapText="1"/>
    </xf>
    <xf borderId="1" fillId="6" fontId="3" numFmtId="10" xfId="0" applyAlignment="1" applyBorder="1" applyFont="1" applyNumberFormat="1">
      <alignment horizontal="center" readingOrder="0" shrinkToFit="0" vertical="bottom" wrapText="1"/>
    </xf>
    <xf borderId="1" fillId="5" fontId="1" numFmtId="164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vertical="bottom"/>
    </xf>
    <xf borderId="0" fillId="0" fontId="5" numFmtId="0" xfId="0" applyFont="1"/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center"/>
    </xf>
    <xf borderId="0" fillId="6" fontId="7" numFmtId="0" xfId="0" applyAlignment="1" applyFont="1">
      <alignment horizontal="right" readingOrder="0" vertical="bottom"/>
    </xf>
    <xf borderId="0" fillId="7" fontId="2" numFmtId="165" xfId="0" applyAlignment="1" applyFill="1" applyFont="1" applyNumberFormat="1">
      <alignment horizontal="center" readingOrder="0" vertical="bottom"/>
    </xf>
    <xf borderId="0" fillId="7" fontId="2" numFmtId="0" xfId="0" applyAlignment="1" applyFont="1">
      <alignment horizontal="left" readingOrder="0" vertical="bottom"/>
    </xf>
    <xf borderId="0" fillId="7" fontId="1" numFmtId="0" xfId="0" applyAlignment="1" applyFont="1">
      <alignment horizontal="center" readingOrder="0" shrinkToFit="0" vertical="bottom" wrapText="1"/>
    </xf>
    <xf borderId="2" fillId="7" fontId="3" numFmtId="165" xfId="0" applyAlignment="1" applyBorder="1" applyFont="1" applyNumberFormat="1">
      <alignment horizontal="center" readingOrder="0" vertical="bottom"/>
    </xf>
    <xf borderId="3" fillId="7" fontId="3" numFmtId="0" xfId="0" applyAlignment="1" applyBorder="1" applyFont="1">
      <alignment readingOrder="0" shrinkToFit="0" vertical="bottom" wrapText="0"/>
    </xf>
    <xf borderId="4" fillId="7" fontId="8" numFmtId="164" xfId="0" applyAlignment="1" applyBorder="1" applyFont="1" applyNumberFormat="1">
      <alignment vertical="bottom"/>
    </xf>
    <xf borderId="0" fillId="7" fontId="3" numFmtId="0" xfId="0" applyAlignment="1" applyFont="1">
      <alignment horizontal="center" readingOrder="0" shrinkToFit="0" vertical="bottom" wrapText="1"/>
    </xf>
    <xf borderId="0" fillId="7" fontId="3" numFmtId="10" xfId="0" applyAlignment="1" applyFont="1" applyNumberFormat="1">
      <alignment horizontal="center" readingOrder="0" shrinkToFit="0" vertical="bottom" wrapText="1"/>
    </xf>
    <xf borderId="0" fillId="7" fontId="1" numFmtId="164" xfId="0" applyAlignment="1" applyFont="1" applyNumberFormat="1">
      <alignment horizontal="center" readingOrder="0" vertical="bottom"/>
    </xf>
    <xf borderId="0" fillId="7" fontId="4" numFmtId="0" xfId="0" applyAlignment="1" applyFont="1">
      <alignment readingOrder="0" shrinkToFit="0" vertical="bottom" wrapText="1"/>
    </xf>
    <xf borderId="0" fillId="7" fontId="5" numFmtId="0" xfId="0" applyAlignment="1" applyFont="1">
      <alignment vertical="bottom"/>
    </xf>
    <xf borderId="0" fillId="7" fontId="5" numFmtId="0" xfId="0" applyFont="1"/>
    <xf borderId="0" fillId="7" fontId="5" numFmtId="0" xfId="0" applyAlignment="1" applyFont="1">
      <alignment horizontal="left" vertical="bottom"/>
    </xf>
    <xf borderId="0" fillId="7" fontId="6" numFmtId="0" xfId="0" applyAlignment="1" applyFont="1">
      <alignment horizontal="center"/>
    </xf>
    <xf borderId="0" fillId="8" fontId="1" numFmtId="0" xfId="0" applyAlignment="1" applyFill="1" applyFont="1">
      <alignment horizontal="right" shrinkToFit="0" vertical="bottom" wrapText="1"/>
    </xf>
    <xf borderId="0" fillId="8" fontId="1" numFmtId="0" xfId="0" applyAlignment="1" applyFont="1">
      <alignment horizontal="left" shrinkToFit="0" vertical="bottom" wrapText="1"/>
    </xf>
    <xf borderId="0" fillId="8" fontId="9" numFmtId="0" xfId="0" applyAlignment="1" applyFont="1">
      <alignment horizontal="center" readingOrder="0" shrinkToFit="0" vertical="bottom" wrapText="1"/>
    </xf>
    <xf borderId="0" fillId="8" fontId="1" numFmtId="0" xfId="0" applyAlignment="1" applyFont="1">
      <alignment horizontal="center" readingOrder="0" shrinkToFit="0" vertical="bottom" wrapText="1"/>
    </xf>
    <xf borderId="0" fillId="8" fontId="9" numFmtId="0" xfId="0" applyAlignment="1" applyFont="1">
      <alignment horizontal="center" readingOrder="0" shrinkToFit="0" wrapText="1"/>
    </xf>
    <xf borderId="0" fillId="8" fontId="1" numFmtId="164" xfId="0" applyAlignment="1" applyFont="1" applyNumberFormat="1">
      <alignment horizontal="center" readingOrder="0" shrinkToFit="0" vertical="bottom" wrapText="1"/>
    </xf>
    <xf borderId="0" fillId="8" fontId="1" numFmtId="0" xfId="0" applyAlignment="1" applyFont="1">
      <alignment horizontal="center" readingOrder="0" shrinkToFit="0" vertical="bottom" wrapText="1"/>
    </xf>
    <xf borderId="0" fillId="8" fontId="1" numFmtId="10" xfId="0" applyAlignment="1" applyFont="1" applyNumberFormat="1">
      <alignment horizontal="center" shrinkToFit="0" vertical="bottom" wrapText="1"/>
    </xf>
    <xf borderId="0" fillId="8" fontId="9" numFmtId="10" xfId="0" applyAlignment="1" applyFont="1" applyNumberFormat="1">
      <alignment horizontal="center" readingOrder="0" shrinkToFit="0" wrapText="1"/>
    </xf>
    <xf borderId="0" fillId="8" fontId="10" numFmtId="0" xfId="0" applyAlignment="1" applyFont="1">
      <alignment horizontal="center" readingOrder="0" shrinkToFit="0" vertical="bottom" wrapText="1"/>
    </xf>
    <xf borderId="0" fillId="9" fontId="9" numFmtId="0" xfId="0" applyAlignment="1" applyFill="1" applyFont="1">
      <alignment horizontal="center" readingOrder="0" shrinkToFit="0" wrapText="1"/>
    </xf>
    <xf borderId="0" fillId="8" fontId="9" numFmtId="0" xfId="0" applyAlignment="1" applyFont="1">
      <alignment horizontal="left" readingOrder="0" shrinkToFit="0" wrapText="1"/>
    </xf>
    <xf borderId="0" fillId="8" fontId="9" numFmtId="0" xfId="0" applyAlignment="1" applyFont="1">
      <alignment horizontal="left" readingOrder="0" shrinkToFit="0" vertical="center" wrapText="1"/>
    </xf>
    <xf borderId="0" fillId="8" fontId="9" numFmtId="0" xfId="0" applyAlignment="1" applyFont="1">
      <alignment horizontal="center" shrinkToFit="0" wrapText="1"/>
    </xf>
    <xf borderId="0" fillId="10" fontId="6" numFmtId="0" xfId="0" applyAlignment="1" applyFill="1" applyFont="1">
      <alignment horizontal="right" readingOrder="0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11" fontId="6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vertical="bottom"/>
    </xf>
    <xf borderId="0" fillId="12" fontId="11" numFmtId="164" xfId="0" applyFill="1" applyFont="1" applyNumberFormat="1"/>
    <xf borderId="0" fillId="0" fontId="5" numFmtId="10" xfId="0" applyAlignment="1" applyFont="1" applyNumberFormat="1">
      <alignment horizontal="center" vertical="bottom"/>
    </xf>
    <xf borderId="0" fillId="0" fontId="6" numFmtId="0" xfId="0" applyFont="1"/>
    <xf borderId="0" fillId="0" fontId="6" numFmtId="10" xfId="0" applyAlignment="1" applyFont="1" applyNumberFormat="1">
      <alignment horizontal="center"/>
    </xf>
    <xf borderId="0" fillId="12" fontId="11" numFmtId="0" xfId="0" applyAlignment="1" applyFont="1">
      <alignment horizontal="center" readingOrder="0"/>
    </xf>
    <xf borderId="0" fillId="12" fontId="12" numFmtId="0" xfId="0" applyAlignment="1" applyFont="1">
      <alignment horizontal="center"/>
    </xf>
    <xf borderId="0" fillId="12" fontId="11" numFmtId="10" xfId="0" applyAlignment="1" applyFont="1" applyNumberFormat="1">
      <alignment horizontal="center"/>
    </xf>
    <xf borderId="0" fillId="13" fontId="13" numFmtId="0" xfId="0" applyAlignment="1" applyFill="1" applyFont="1">
      <alignment horizontal="center" readingOrder="0"/>
    </xf>
    <xf borderId="0" fillId="13" fontId="13" numFmtId="0" xfId="0" applyAlignment="1" applyFont="1">
      <alignment horizontal="center"/>
    </xf>
    <xf borderId="0" fillId="12" fontId="11" numFmtId="0" xfId="0" applyAlignment="1" applyFont="1">
      <alignment horizontal="left"/>
    </xf>
    <xf borderId="0" fillId="12" fontId="11" numFmtId="0" xfId="0" applyAlignment="1" applyFont="1">
      <alignment horizontal="left" vertical="center"/>
    </xf>
    <xf borderId="0" fillId="12" fontId="11" numFmtId="0" xfId="0" applyAlignment="1" applyFont="1">
      <alignment horizontal="center"/>
    </xf>
    <xf borderId="0" fillId="3" fontId="6" numFmtId="0" xfId="0" applyAlignment="1" applyFont="1">
      <alignment horizontal="right" readingOrder="0"/>
    </xf>
    <xf borderId="0" fillId="11" fontId="6" numFmtId="0" xfId="0" applyAlignment="1" applyFont="1">
      <alignment horizontal="center"/>
    </xf>
    <xf borderId="0" fillId="6" fontId="14" numFmtId="0" xfId="0" applyAlignment="1" applyFont="1">
      <alignment horizontal="right" readingOrder="0"/>
    </xf>
    <xf borderId="0" fillId="6" fontId="4" numFmtId="0" xfId="0" applyAlignment="1" applyFont="1">
      <alignment horizontal="left" vertical="bottom"/>
    </xf>
    <xf borderId="0" fillId="6" fontId="14" numFmtId="0" xfId="0" applyAlignment="1" applyFont="1">
      <alignment horizontal="center" readingOrder="0" vertical="bottom"/>
    </xf>
    <xf borderId="0" fillId="6" fontId="4" numFmtId="0" xfId="0" applyAlignment="1" applyFont="1">
      <alignment horizontal="center" vertical="bottom"/>
    </xf>
    <xf borderId="0" fillId="6" fontId="14" numFmtId="0" xfId="0" applyAlignment="1" applyFont="1">
      <alignment horizontal="center"/>
    </xf>
    <xf borderId="0" fillId="6" fontId="5" numFmtId="164" xfId="0" applyAlignment="1" applyFont="1" applyNumberFormat="1">
      <alignment horizontal="center" vertical="bottom"/>
    </xf>
    <xf borderId="0" fillId="6" fontId="5" numFmtId="0" xfId="0" applyAlignment="1" applyFont="1">
      <alignment horizontal="center" vertical="bottom"/>
    </xf>
    <xf borderId="0" fillId="6" fontId="14" numFmtId="0" xfId="0" applyFont="1"/>
    <xf borderId="0" fillId="6" fontId="14" numFmtId="10" xfId="0" applyAlignment="1" applyFont="1" applyNumberFormat="1">
      <alignment horizontal="center"/>
    </xf>
    <xf borderId="0" fillId="6" fontId="15" numFmtId="0" xfId="0" applyAlignment="1" applyFont="1">
      <alignment horizontal="center" readingOrder="0"/>
    </xf>
    <xf borderId="0" fillId="6" fontId="16" numFmtId="0" xfId="0" applyAlignment="1" applyFont="1">
      <alignment horizontal="center"/>
    </xf>
    <xf borderId="0" fillId="6" fontId="15" numFmtId="10" xfId="0" applyAlignment="1" applyFont="1" applyNumberFormat="1">
      <alignment horizontal="center"/>
    </xf>
    <xf borderId="0" fillId="6" fontId="13" numFmtId="0" xfId="0" applyAlignment="1" applyFont="1">
      <alignment horizontal="center"/>
    </xf>
    <xf borderId="0" fillId="6" fontId="15" numFmtId="0" xfId="0" applyAlignment="1" applyFont="1">
      <alignment horizontal="left"/>
    </xf>
    <xf borderId="0" fillId="6" fontId="15" numFmtId="0" xfId="0" applyAlignment="1" applyFont="1">
      <alignment horizontal="left" vertical="center"/>
    </xf>
    <xf borderId="0" fillId="6" fontId="15" numFmtId="0" xfId="0" applyAlignment="1" applyFont="1">
      <alignment horizontal="center"/>
    </xf>
    <xf borderId="0" fillId="6" fontId="6" numFmtId="0" xfId="0" applyAlignment="1" applyFont="1">
      <alignment horizontal="right" readingOrder="0"/>
    </xf>
    <xf borderId="0" fillId="6" fontId="5" numFmtId="0" xfId="0" applyAlignment="1" applyFont="1">
      <alignment horizontal="left" vertical="bottom"/>
    </xf>
    <xf borderId="0" fillId="6" fontId="6" numFmtId="0" xfId="0" applyAlignment="1" applyFont="1">
      <alignment horizontal="center"/>
    </xf>
    <xf borderId="0" fillId="6" fontId="5" numFmtId="10" xfId="0" applyAlignment="1" applyFont="1" applyNumberFormat="1">
      <alignment horizontal="center" vertical="bottom"/>
    </xf>
    <xf borderId="0" fillId="6" fontId="6" numFmtId="0" xfId="0" applyAlignment="1" applyFont="1">
      <alignment horizontal="center" readingOrder="0"/>
    </xf>
    <xf borderId="0" fillId="0" fontId="6" numFmtId="0" xfId="0" applyAlignment="1" applyFont="1">
      <alignment horizontal="right"/>
    </xf>
    <xf borderId="0" fillId="14" fontId="17" numFmtId="0" xfId="0" applyAlignment="1" applyFill="1" applyFont="1">
      <alignment readingOrder="0"/>
    </xf>
    <xf borderId="5" fillId="6" fontId="14" numFmtId="0" xfId="0" applyAlignment="1" applyBorder="1" applyFont="1">
      <alignment horizontal="center" readingOrder="0"/>
    </xf>
    <xf borderId="2" fillId="0" fontId="18" numFmtId="0" xfId="0" applyAlignment="1" applyBorder="1" applyFont="1">
      <alignment readingOrder="0"/>
    </xf>
    <xf borderId="2" fillId="0" fontId="6" numFmtId="0" xfId="0" applyBorder="1" applyFont="1"/>
    <xf borderId="2" fillId="0" fontId="6" numFmtId="0" xfId="0" applyAlignment="1" applyBorder="1" applyFont="1">
      <alignment horizontal="center" readingOrder="0"/>
    </xf>
    <xf borderId="6" fillId="0" fontId="6" numFmtId="0" xfId="0" applyBorder="1" applyFont="1"/>
    <xf borderId="5" fillId="0" fontId="14" numFmtId="0" xfId="0" applyAlignment="1" applyBorder="1" applyFont="1">
      <alignment readingOrder="0"/>
    </xf>
    <xf borderId="1" fillId="15" fontId="14" numFmtId="0" xfId="0" applyAlignment="1" applyBorder="1" applyFill="1" applyFont="1">
      <alignment horizontal="left" readingOrder="0"/>
    </xf>
    <xf borderId="0" fillId="4" fontId="14" numFmtId="0" xfId="0" applyAlignment="1" applyFont="1">
      <alignment horizontal="center"/>
    </xf>
    <xf borderId="0" fillId="6" fontId="6" numFmtId="0" xfId="0" applyAlignment="1" applyFont="1">
      <alignment readingOrder="0"/>
    </xf>
    <xf borderId="0" fillId="6" fontId="14" numFmtId="0" xfId="0" applyAlignment="1" applyFont="1">
      <alignment horizontal="center" readingOrder="0"/>
    </xf>
    <xf borderId="7" fillId="0" fontId="6" numFmtId="0" xfId="0" applyBorder="1" applyFont="1"/>
    <xf borderId="8" fillId="15" fontId="14" numFmtId="0" xfId="0" applyAlignment="1" applyBorder="1" applyFont="1">
      <alignment horizontal="left" readingOrder="0"/>
    </xf>
    <xf borderId="9" fillId="4" fontId="14" numFmtId="0" xfId="0" applyAlignment="1" applyBorder="1" applyFont="1">
      <alignment horizontal="center"/>
    </xf>
    <xf borderId="10" fillId="6" fontId="6" numFmtId="0" xfId="0" applyAlignment="1" applyBorder="1" applyFont="1">
      <alignment readingOrder="0"/>
    </xf>
    <xf borderId="11" fillId="6" fontId="14" numFmtId="0" xfId="0" applyAlignment="1" applyBorder="1" applyFont="1">
      <alignment horizontal="center" readingOrder="0"/>
    </xf>
    <xf borderId="12" fillId="0" fontId="6" numFmtId="0" xfId="0" applyBorder="1" applyFont="1"/>
    <xf borderId="13" fillId="0" fontId="6" numFmtId="0" xfId="0" applyBorder="1" applyFont="1"/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readingOrder="0"/>
    </xf>
    <xf borderId="7" fillId="4" fontId="6" numFmtId="0" xfId="0" applyAlignment="1" applyBorder="1" applyFont="1">
      <alignment horizontal="center" readingOrder="0"/>
    </xf>
    <xf borderId="14" fillId="0" fontId="6" numFmtId="0" xfId="0" applyBorder="1" applyFont="1"/>
    <xf borderId="15" fillId="0" fontId="21" numFmtId="0" xfId="0" applyAlignment="1" applyBorder="1" applyFont="1">
      <alignment readingOrder="0"/>
    </xf>
    <xf borderId="13" fillId="0" fontId="6" numFmtId="0" xfId="0" applyAlignment="1" applyBorder="1" applyFont="1">
      <alignment horizontal="right" readingOrder="0"/>
    </xf>
    <xf borderId="0" fillId="3" fontId="6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7" fillId="4" fontId="6" numFmtId="0" xfId="0" applyAlignment="1" applyBorder="1" applyFont="1">
      <alignment horizontal="center"/>
    </xf>
    <xf borderId="14" fillId="0" fontId="6" numFmtId="0" xfId="0" applyAlignment="1" applyBorder="1" applyFont="1">
      <alignment horizontal="right" readingOrder="0"/>
    </xf>
    <xf borderId="0" fillId="3" fontId="5" numFmtId="0" xfId="0" applyAlignment="1" applyFont="1">
      <alignment horizontal="center" vertical="bottom"/>
    </xf>
    <xf borderId="15" fillId="0" fontId="6" numFmtId="0" xfId="0" applyAlignment="1" applyBorder="1" applyFont="1">
      <alignment horizontal="center" readingOrder="0"/>
    </xf>
    <xf borderId="15" fillId="0" fontId="6" numFmtId="0" xfId="0" applyBorder="1" applyFont="1"/>
    <xf borderId="13" fillId="0" fontId="6" numFmtId="0" xfId="0" applyAlignment="1" applyBorder="1" applyFont="1">
      <alignment horizontal="right"/>
    </xf>
    <xf borderId="16" fillId="0" fontId="6" numFmtId="0" xfId="0" applyAlignment="1" applyBorder="1" applyFont="1">
      <alignment horizontal="center" readingOrder="0"/>
    </xf>
    <xf borderId="16" fillId="0" fontId="6" numFmtId="0" xfId="0" applyAlignment="1" applyBorder="1" applyFont="1">
      <alignment horizontal="center"/>
    </xf>
    <xf borderId="16" fillId="0" fontId="6" numFmtId="0" xfId="0" applyBorder="1" applyFont="1"/>
    <xf borderId="14" fillId="0" fontId="6" numFmtId="0" xfId="0" applyAlignment="1" applyBorder="1" applyFont="1">
      <alignment horizontal="right"/>
    </xf>
    <xf borderId="17" fillId="0" fontId="6" numFmtId="0" xfId="0" applyAlignment="1" applyBorder="1" applyFont="1">
      <alignment horizontal="right"/>
    </xf>
    <xf borderId="18" fillId="0" fontId="6" numFmtId="0" xfId="0" applyBorder="1" applyFont="1"/>
    <xf borderId="18" fillId="6" fontId="14" numFmtId="0" xfId="0" applyAlignment="1" applyBorder="1" applyFont="1">
      <alignment readingOrder="0"/>
    </xf>
    <xf borderId="18" fillId="6" fontId="6" numFmtId="164" xfId="0" applyBorder="1" applyFont="1" applyNumberFormat="1"/>
    <xf borderId="18" fillId="0" fontId="6" numFmtId="10" xfId="0" applyBorder="1" applyFont="1" applyNumberFormat="1"/>
    <xf borderId="19" fillId="0" fontId="6" numFmtId="0" xfId="0" applyBorder="1" applyFont="1"/>
    <xf borderId="15" fillId="0" fontId="6" numFmtId="10" xfId="0" applyBorder="1" applyFont="1" applyNumberFormat="1"/>
    <xf borderId="20" fillId="0" fontId="6" numFmtId="0" xfId="0" applyAlignment="1" applyBorder="1" applyFont="1">
      <alignment horizontal="right"/>
    </xf>
    <xf borderId="21" fillId="0" fontId="6" numFmtId="0" xfId="0" applyBorder="1" applyFont="1"/>
    <xf borderId="21" fillId="6" fontId="14" numFmtId="0" xfId="0" applyAlignment="1" applyBorder="1" applyFont="1">
      <alignment readingOrder="0"/>
    </xf>
    <xf borderId="21" fillId="6" fontId="6" numFmtId="164" xfId="0" applyBorder="1" applyFont="1" applyNumberFormat="1"/>
    <xf borderId="22" fillId="0" fontId="6" numFmtId="0" xfId="0" applyBorder="1" applyFont="1"/>
    <xf borderId="23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16" fontId="4" numFmtId="166" xfId="0" applyAlignment="1" applyBorder="1" applyFill="1" applyFont="1" applyNumberFormat="1">
      <alignment horizontal="center" vertical="bottom"/>
    </xf>
    <xf borderId="9" fillId="16" fontId="22" numFmtId="0" xfId="0" applyAlignment="1" applyBorder="1" applyFont="1">
      <alignment horizontal="center" vertical="bottom"/>
    </xf>
    <xf borderId="12" fillId="0" fontId="5" numFmtId="0" xfId="0" applyAlignment="1" applyBorder="1" applyFont="1">
      <alignment vertical="bottom"/>
    </xf>
    <xf borderId="1" fillId="15" fontId="4" numFmtId="0" xfId="0" applyAlignment="1" applyBorder="1" applyFont="1">
      <alignment readingOrder="0" vertical="bottom"/>
    </xf>
    <xf borderId="0" fillId="4" fontId="4" numFmtId="0" xfId="0" applyAlignment="1" applyFont="1">
      <alignment horizontal="center" vertical="bottom"/>
    </xf>
    <xf borderId="24" fillId="6" fontId="4" numFmtId="0" xfId="0" applyAlignment="1" applyBorder="1" applyFont="1">
      <alignment horizontal="center" readingOrder="0" vertical="bottom"/>
    </xf>
    <xf borderId="25" fillId="6" fontId="4" numFmtId="167" xfId="0" applyAlignment="1" applyBorder="1" applyFont="1" applyNumberFormat="1">
      <alignment horizontal="center" vertical="bottom"/>
    </xf>
    <xf borderId="0" fillId="16" fontId="4" numFmtId="0" xfId="0" applyAlignment="1" applyFont="1">
      <alignment horizontal="center" vertical="bottom"/>
    </xf>
    <xf borderId="15" fillId="0" fontId="5" numFmtId="166" xfId="0" applyAlignment="1" applyBorder="1" applyFont="1" applyNumberFormat="1">
      <alignment horizontal="center" vertical="bottom"/>
    </xf>
    <xf borderId="14" fillId="0" fontId="5" numFmtId="0" xfId="0" applyAlignment="1" applyBorder="1" applyFont="1">
      <alignment vertical="bottom"/>
    </xf>
    <xf borderId="0" fillId="0" fontId="23" numFmtId="0" xfId="0" applyAlignment="1" applyFont="1">
      <alignment horizontal="center" vertical="bottom"/>
    </xf>
    <xf borderId="0" fillId="0" fontId="24" numFmtId="0" xfId="0" applyAlignment="1" applyFont="1">
      <alignment horizontal="center" vertical="bottom"/>
    </xf>
    <xf borderId="0" fillId="0" fontId="25" numFmtId="0" xfId="0" applyAlignment="1" applyFont="1">
      <alignment readingOrder="0" vertical="bottom"/>
    </xf>
    <xf borderId="15" fillId="4" fontId="26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right" vertical="bottom"/>
    </xf>
    <xf borderId="0" fillId="3" fontId="5" numFmtId="0" xfId="0" applyAlignment="1" applyFont="1">
      <alignment horizontal="center" readingOrder="0" vertical="bottom"/>
    </xf>
    <xf borderId="0" fillId="5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15" fillId="4" fontId="5" numFmtId="0" xfId="0" applyAlignment="1" applyBorder="1" applyFont="1">
      <alignment horizontal="center" vertical="bottom"/>
    </xf>
    <xf borderId="14" fillId="17" fontId="6" numFmtId="0" xfId="0" applyAlignment="1" applyBorder="1" applyFill="1" applyFont="1">
      <alignment horizontal="right" readingOrder="0"/>
    </xf>
    <xf borderId="0" fillId="17" fontId="6" numFmtId="0" xfId="0" applyAlignment="1" applyFont="1">
      <alignment horizontal="center" readingOrder="0"/>
    </xf>
    <xf borderId="14" fillId="0" fontId="5" numFmtId="0" xfId="0" applyAlignment="1" applyBorder="1" applyFont="1">
      <alignment horizontal="right" vertical="bottom"/>
    </xf>
    <xf borderId="15" fillId="4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5" fillId="0" fontId="5" numFmtId="0" xfId="0" applyAlignment="1" applyBorder="1" applyFont="1">
      <alignment vertical="bottom"/>
    </xf>
    <xf borderId="16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vertical="bottom"/>
    </xf>
    <xf borderId="16" fillId="0" fontId="5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0" fillId="12" fontId="5" numFmtId="0" xfId="0" applyAlignment="1" applyFont="1">
      <alignment vertical="bottom"/>
    </xf>
    <xf borderId="0" fillId="12" fontId="5" numFmtId="164" xfId="0" applyAlignment="1" applyFont="1" applyNumberFormat="1">
      <alignment vertical="bottom"/>
    </xf>
    <xf borderId="0" fillId="0" fontId="5" numFmtId="10" xfId="0" applyAlignment="1" applyFont="1" applyNumberFormat="1">
      <alignment vertical="bottom"/>
    </xf>
    <xf borderId="20" fillId="0" fontId="5" numFmtId="0" xfId="0" applyAlignment="1" applyBorder="1" applyFont="1">
      <alignment vertical="bottom"/>
    </xf>
    <xf borderId="21" fillId="0" fontId="5" numFmtId="0" xfId="0" applyAlignment="1" applyBorder="1" applyFont="1">
      <alignment vertical="bottom"/>
    </xf>
    <xf borderId="21" fillId="6" fontId="4" numFmtId="0" xfId="0" applyAlignment="1" applyBorder="1" applyFont="1">
      <alignment vertical="bottom"/>
    </xf>
    <xf borderId="21" fillId="6" fontId="5" numFmtId="166" xfId="0" applyAlignment="1" applyBorder="1" applyFont="1" applyNumberFormat="1">
      <alignment horizontal="right" vertical="bottom"/>
    </xf>
    <xf borderId="21" fillId="0" fontId="5" numFmtId="10" xfId="0" applyAlignment="1" applyBorder="1" applyFont="1" applyNumberFormat="1">
      <alignment vertical="bottom"/>
    </xf>
    <xf borderId="22" fillId="0" fontId="5" numFmtId="0" xfId="0" applyAlignment="1" applyBorder="1" applyFont="1">
      <alignment vertical="bottom"/>
    </xf>
    <xf borderId="9" fillId="16" fontId="4" numFmtId="0" xfId="0" applyAlignment="1" applyBorder="1" applyFont="1">
      <alignment horizontal="center" vertical="bottom"/>
    </xf>
    <xf borderId="24" fillId="6" fontId="5" numFmtId="0" xfId="0" applyAlignment="1" applyBorder="1" applyFont="1">
      <alignment vertical="bottom"/>
    </xf>
    <xf borderId="25" fillId="6" fontId="4" numFmtId="0" xfId="0" applyAlignment="1" applyBorder="1" applyFont="1">
      <alignment horizontal="center" vertical="bottom"/>
    </xf>
    <xf borderId="0" fillId="18" fontId="14" numFmtId="0" xfId="0" applyAlignment="1" applyFill="1" applyFont="1">
      <alignment readingOrder="0"/>
    </xf>
    <xf borderId="0" fillId="18" fontId="6" numFmtId="0" xfId="0" applyFont="1"/>
    <xf borderId="0" fillId="18" fontId="6" numFmtId="0" xfId="0" applyAlignment="1" applyFont="1">
      <alignment readingOrder="0"/>
    </xf>
    <xf borderId="21" fillId="6" fontId="5" numFmtId="164" xfId="0" applyAlignment="1" applyBorder="1" applyFont="1" applyNumberFormat="1">
      <alignment horizontal="right" vertical="bottom"/>
    </xf>
    <xf borderId="0" fillId="18" fontId="6" numFmtId="164" xfId="0" applyFont="1" applyNumberFormat="1"/>
    <xf borderId="0" fillId="18" fontId="14" numFmtId="0" xfId="0" applyAlignment="1" applyFont="1">
      <alignment horizontal="center" readingOrder="0"/>
    </xf>
    <xf borderId="5" fillId="0" fontId="5" numFmtId="0" xfId="0" applyAlignment="1" applyBorder="1" applyFont="1">
      <alignment vertical="bottom"/>
    </xf>
    <xf borderId="2" fillId="0" fontId="14" numFmtId="166" xfId="0" applyAlignment="1" applyBorder="1" applyFont="1" applyNumberFormat="1">
      <alignment horizontal="center"/>
    </xf>
    <xf borderId="6" fillId="16" fontId="14" numFmtId="0" xfId="0" applyAlignment="1" applyBorder="1" applyFont="1">
      <alignment horizontal="center" readingOrder="0"/>
    </xf>
    <xf borderId="0" fillId="18" fontId="6" numFmtId="0" xfId="0" applyAlignment="1" applyFont="1">
      <alignment horizontal="center"/>
    </xf>
    <xf borderId="24" fillId="6" fontId="6" numFmtId="0" xfId="0" applyAlignment="1" applyBorder="1" applyFont="1">
      <alignment readingOrder="0"/>
    </xf>
    <xf borderId="25" fillId="6" fontId="14" numFmtId="164" xfId="0" applyAlignment="1" applyBorder="1" applyFont="1" applyNumberFormat="1">
      <alignment horizontal="center" readingOrder="0"/>
    </xf>
    <xf borderId="7" fillId="16" fontId="14" numFmtId="0" xfId="0" applyAlignment="1" applyBorder="1" applyFont="1">
      <alignment horizontal="center"/>
    </xf>
    <xf borderId="7" fillId="4" fontId="27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26" fillId="0" fontId="6" numFmtId="0" xfId="0" applyAlignment="1" applyBorder="1" applyFont="1">
      <alignment horizontal="right"/>
    </xf>
    <xf borderId="27" fillId="0" fontId="6" numFmtId="0" xfId="0" applyAlignment="1" applyBorder="1" applyFont="1">
      <alignment horizontal="center" readingOrder="0"/>
    </xf>
    <xf borderId="27" fillId="0" fontId="6" numFmtId="0" xfId="0" applyAlignment="1" applyBorder="1" applyFont="1">
      <alignment horizontal="center"/>
    </xf>
    <xf borderId="28" fillId="0" fontId="6" numFmtId="0" xfId="0" applyBorder="1" applyFont="1"/>
    <xf borderId="0" fillId="0" fontId="6" numFmtId="10" xfId="0" applyFont="1" applyNumberFormat="1"/>
    <xf borderId="18" fillId="6" fontId="6" numFmtId="166" xfId="0" applyBorder="1" applyFont="1" applyNumberFormat="1"/>
    <xf borderId="0" fillId="0" fontId="6" numFmtId="164" xfId="0" applyAlignment="1" applyFont="1" applyNumberFormat="1">
      <alignment readingOrder="0"/>
    </xf>
    <xf borderId="0" fillId="0" fontId="14" numFmtId="164" xfId="0" applyAlignment="1" applyFont="1" applyNumberFormat="1">
      <alignment horizontal="center" readingOrder="0"/>
    </xf>
    <xf borderId="9" fillId="0" fontId="6" numFmtId="0" xfId="0" applyBorder="1" applyFont="1"/>
    <xf borderId="29" fillId="16" fontId="14" numFmtId="0" xfId="0" applyAlignment="1" applyBorder="1" applyFont="1">
      <alignment horizontal="center" readingOrder="0"/>
    </xf>
    <xf borderId="30" fillId="15" fontId="14" numFmtId="0" xfId="0" applyAlignment="1" applyBorder="1" applyFont="1">
      <alignment horizontal="left" readingOrder="0"/>
    </xf>
    <xf borderId="25" fillId="6" fontId="14" numFmtId="0" xfId="0" applyAlignment="1" applyBorder="1" applyFont="1">
      <alignment horizontal="center" readingOrder="0"/>
    </xf>
    <xf borderId="15" fillId="4" fontId="28" numFmtId="0" xfId="0" applyAlignment="1" applyBorder="1" applyFont="1">
      <alignment horizontal="center" readingOrder="0"/>
    </xf>
    <xf borderId="15" fillId="4" fontId="6" numFmtId="0" xfId="0" applyAlignment="1" applyBorder="1" applyFont="1">
      <alignment horizontal="center"/>
    </xf>
    <xf borderId="0" fillId="6" fontId="14" numFmtId="0" xfId="0" applyAlignment="1" applyFont="1">
      <alignment readingOrder="0"/>
    </xf>
    <xf borderId="0" fillId="6" fontId="6" numFmtId="164" xfId="0" applyFont="1" applyNumberFormat="1"/>
    <xf borderId="0" fillId="0" fontId="6" numFmtId="0" xfId="0" applyAlignment="1" applyFont="1">
      <alignment horizontal="right" readingOrder="0"/>
    </xf>
    <xf borderId="0" fillId="18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31" fillId="0" fontId="5" numFmtId="0" xfId="0" applyAlignment="1" applyBorder="1" applyFont="1">
      <alignment vertical="bottom"/>
    </xf>
    <xf borderId="32" fillId="0" fontId="5" numFmtId="0" xfId="0" applyAlignment="1" applyBorder="1" applyFont="1">
      <alignment vertical="bottom"/>
    </xf>
    <xf borderId="29" fillId="16" fontId="4" numFmtId="0" xfId="0" applyAlignment="1" applyBorder="1" applyFont="1">
      <alignment horizontal="center" vertical="bottom"/>
    </xf>
    <xf borderId="33" fillId="15" fontId="4" numFmtId="0" xfId="0" applyAlignment="1" applyBorder="1" applyFont="1">
      <alignment vertical="bottom"/>
    </xf>
    <xf borderId="7" fillId="4" fontId="4" numFmtId="0" xfId="0" applyAlignment="1" applyBorder="1" applyFont="1">
      <alignment horizontal="center" vertical="bottom"/>
    </xf>
    <xf borderId="18" fillId="6" fontId="5" numFmtId="0" xfId="0" applyAlignment="1" applyBorder="1" applyFont="1">
      <alignment vertical="bottom"/>
    </xf>
    <xf borderId="19" fillId="6" fontId="4" numFmtId="0" xfId="0" applyAlignment="1" applyBorder="1" applyFont="1">
      <alignment horizontal="center" vertical="bottom"/>
    </xf>
    <xf borderId="7" fillId="16" fontId="4" numFmtId="0" xfId="0" applyAlignment="1" applyBorder="1" applyFont="1">
      <alignment horizontal="center" vertical="bottom"/>
    </xf>
    <xf borderId="0" fillId="0" fontId="29" numFmtId="0" xfId="0" applyAlignment="1" applyFont="1">
      <alignment vertical="bottom"/>
    </xf>
    <xf borderId="15" fillId="4" fontId="30" numFmtId="0" xfId="0" applyAlignment="1" applyBorder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5" fontId="5" numFmtId="0" xfId="0" applyAlignment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18" fillId="3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21" fillId="0" fontId="5" numFmtId="0" xfId="0" applyAlignment="1" applyBorder="1" applyFont="1">
      <alignment horizontal="center" vertical="bottom"/>
    </xf>
    <xf borderId="28" fillId="0" fontId="5" numFmtId="0" xfId="0" applyAlignment="1" applyBorder="1" applyFont="1">
      <alignment vertical="bottom"/>
    </xf>
    <xf borderId="0" fillId="6" fontId="4" numFmtId="0" xfId="0" applyAlignment="1" applyFont="1">
      <alignment vertical="bottom"/>
    </xf>
    <xf borderId="0" fillId="6" fontId="5" numFmtId="164" xfId="0" applyAlignment="1" applyFont="1" applyNumberFormat="1">
      <alignment horizontal="right" vertical="bottom"/>
    </xf>
    <xf borderId="0" fillId="18" fontId="14" numFmtId="0" xfId="0" applyAlignment="1" applyFont="1">
      <alignment horizontal="left" readingOrder="0"/>
    </xf>
    <xf borderId="5" fillId="15" fontId="4" numFmtId="0" xfId="0" applyAlignment="1" applyBorder="1" applyFont="1">
      <alignment readingOrder="0" vertical="bottom"/>
    </xf>
    <xf borderId="2" fillId="4" fontId="4" numFmtId="0" xfId="0" applyAlignment="1" applyBorder="1" applyFont="1">
      <alignment horizontal="center" vertical="bottom"/>
    </xf>
    <xf borderId="2" fillId="6" fontId="5" numFmtId="0" xfId="0" applyAlignment="1" applyBorder="1" applyFont="1">
      <alignment vertical="bottom"/>
    </xf>
    <xf borderId="2" fillId="6" fontId="4" numFmtId="0" xfId="0" applyAlignment="1" applyBorder="1" applyFont="1">
      <alignment horizontal="center" vertical="bottom"/>
    </xf>
    <xf borderId="2" fillId="0" fontId="5" numFmtId="0" xfId="0" applyAlignment="1" applyBorder="1" applyFont="1">
      <alignment vertical="bottom"/>
    </xf>
    <xf borderId="13" fillId="0" fontId="5" numFmtId="0" xfId="0" applyAlignment="1" applyBorder="1" applyFont="1">
      <alignment readingOrder="0" vertical="bottom"/>
    </xf>
    <xf borderId="0" fillId="0" fontId="31" numFmtId="0" xfId="0" applyAlignment="1" applyFont="1">
      <alignment readingOrder="0" vertical="bottom"/>
    </xf>
    <xf borderId="7" fillId="0" fontId="32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vertical="bottom"/>
    </xf>
    <xf borderId="16" fillId="0" fontId="5" numFmtId="0" xfId="0" applyAlignment="1" applyBorder="1" applyFont="1">
      <alignment horizontal="center" vertical="bottom"/>
    </xf>
    <xf borderId="0" fillId="16" fontId="6" numFmtId="0" xfId="0" applyAlignment="1" applyFont="1">
      <alignment horizontal="center" readingOrder="0"/>
    </xf>
    <xf borderId="17" fillId="0" fontId="6" numFmtId="0" xfId="0" applyBorder="1" applyFont="1"/>
    <xf borderId="18" fillId="0" fontId="5" numFmtId="0" xfId="0" applyAlignment="1" applyBorder="1" applyFont="1">
      <alignment vertical="bottom"/>
    </xf>
    <xf borderId="18" fillId="6" fontId="4" numFmtId="0" xfId="0" applyAlignment="1" applyBorder="1" applyFont="1">
      <alignment vertical="bottom"/>
    </xf>
    <xf borderId="18" fillId="6" fontId="5" numFmtId="164" xfId="0" applyAlignment="1" applyBorder="1" applyFont="1" applyNumberFormat="1">
      <alignment horizontal="right" vertical="bottom"/>
    </xf>
    <xf borderId="18" fillId="16" fontId="5" numFmtId="0" xfId="0" applyAlignment="1" applyBorder="1" applyFont="1">
      <alignment horizontal="center" vertical="bottom"/>
    </xf>
    <xf borderId="8" fillId="15" fontId="4" numFmtId="0" xfId="0" applyAlignment="1" applyBorder="1" applyFont="1">
      <alignment readingOrder="0" vertical="bottom"/>
    </xf>
    <xf borderId="29" fillId="4" fontId="4" numFmtId="0" xfId="0" applyAlignment="1" applyBorder="1" applyFont="1">
      <alignment horizontal="center" vertical="bottom"/>
    </xf>
    <xf borderId="32" fillId="6" fontId="5" numFmtId="0" xfId="0" applyAlignment="1" applyBorder="1" applyFont="1">
      <alignment vertical="bottom"/>
    </xf>
    <xf borderId="11" fillId="6" fontId="4" numFmtId="0" xfId="0" applyAlignment="1" applyBorder="1" applyFont="1">
      <alignment horizontal="center" vertical="bottom"/>
    </xf>
    <xf borderId="15" fillId="0" fontId="33" numFmtId="0" xfId="0" applyAlignment="1" applyBorder="1" applyFont="1">
      <alignment vertical="bottom"/>
    </xf>
    <xf borderId="15" fillId="0" fontId="5" numFmtId="0" xfId="0" applyAlignment="1" applyBorder="1" applyFont="1">
      <alignment horizontal="center" vertical="bottom"/>
    </xf>
    <xf borderId="15" fillId="0" fontId="5" numFmtId="10" xfId="0" applyAlignment="1" applyBorder="1" applyFont="1" applyNumberFormat="1">
      <alignment vertical="bottom"/>
    </xf>
    <xf borderId="21" fillId="6" fontId="4" numFmtId="0" xfId="0" applyAlignment="1" applyBorder="1" applyFont="1">
      <alignment vertical="bottom"/>
    </xf>
    <xf borderId="18" fillId="3" fontId="5" numFmtId="0" xfId="0" applyAlignment="1" applyBorder="1" applyFont="1">
      <alignment vertical="bottom"/>
    </xf>
    <xf borderId="18" fillId="0" fontId="5" numFmtId="0" xfId="0" applyAlignment="1" applyBorder="1" applyFont="1">
      <alignment horizontal="right" vertical="bottom"/>
    </xf>
    <xf borderId="0" fillId="2" fontId="1" numFmtId="0" xfId="0" applyAlignment="1" applyFont="1">
      <alignment horizontal="right" vertical="bottom"/>
    </xf>
    <xf borderId="1" fillId="2" fontId="1" numFmtId="167" xfId="0" applyAlignment="1" applyBorder="1" applyFont="1" applyNumberFormat="1">
      <alignment horizontal="center" readingOrder="0" vertical="bottom"/>
    </xf>
    <xf borderId="0" fillId="7" fontId="2" numFmtId="0" xfId="0" applyAlignment="1" applyFont="1">
      <alignment horizontal="center" readingOrder="0" shrinkToFit="0" vertical="bottom" wrapText="1"/>
    </xf>
    <xf borderId="0" fillId="19" fontId="6" numFmtId="0" xfId="0" applyAlignment="1" applyFill="1" applyFont="1">
      <alignment horizontal="left" readingOrder="0" vertical="bottom"/>
    </xf>
    <xf borderId="0" fillId="19" fontId="6" numFmtId="0" xfId="0" applyAlignment="1" applyFont="1">
      <alignment horizontal="center" readingOrder="0" vertical="bottom"/>
    </xf>
    <xf borderId="9" fillId="0" fontId="14" numFmtId="0" xfId="0" applyAlignment="1" applyBorder="1" applyFont="1">
      <alignment readingOrder="0"/>
    </xf>
    <xf borderId="9" fillId="16" fontId="14" numFmtId="166" xfId="0" applyAlignment="1" applyBorder="1" applyFont="1" applyNumberFormat="1">
      <alignment horizontal="center"/>
    </xf>
    <xf borderId="24" fillId="7" fontId="14" numFmtId="0" xfId="0" applyAlignment="1" applyBorder="1" applyFont="1">
      <alignment horizontal="center" readingOrder="0"/>
    </xf>
    <xf borderId="25" fillId="7" fontId="14" numFmtId="164" xfId="0" applyAlignment="1" applyBorder="1" applyFont="1" applyNumberFormat="1">
      <alignment horizontal="center" readingOrder="0"/>
    </xf>
    <xf borderId="27" fillId="0" fontId="6" numFmtId="166" xfId="0" applyAlignment="1" applyBorder="1" applyFont="1" applyNumberFormat="1">
      <alignment horizontal="center"/>
    </xf>
    <xf borderId="0" fillId="6" fontId="14" numFmtId="166" xfId="0" applyAlignment="1" applyFont="1" applyNumberFormat="1">
      <alignment horizontal="center"/>
    </xf>
    <xf borderId="9" fillId="0" fontId="4" numFmtId="0" xfId="0" applyAlignment="1" applyBorder="1" applyFont="1">
      <alignment readingOrder="0" vertical="bottom"/>
    </xf>
    <xf borderId="9" fillId="16" fontId="34" numFmtId="0" xfId="0" applyAlignment="1" applyBorder="1" applyFont="1">
      <alignment horizontal="center" readingOrder="0" vertical="bottom"/>
    </xf>
    <xf borderId="24" fillId="7" fontId="4" numFmtId="0" xfId="0" applyAlignment="1" applyBorder="1" applyFont="1">
      <alignment horizontal="center" readingOrder="0" vertical="bottom"/>
    </xf>
    <xf borderId="25" fillId="7" fontId="4" numFmtId="167" xfId="0" applyAlignment="1" applyBorder="1" applyFont="1" applyNumberFormat="1">
      <alignment horizontal="center" readingOrder="0" vertical="bottom"/>
    </xf>
    <xf borderId="0" fillId="0" fontId="35" numFmtId="0" xfId="0" applyAlignment="1" applyFont="1">
      <alignment horizontal="center" readingOrder="0" vertical="bottom"/>
    </xf>
    <xf borderId="0" fillId="0" fontId="36" numFmtId="0" xfId="0" applyAlignment="1" applyFont="1">
      <alignment horizontal="center" readingOrder="0" vertical="bottom"/>
    </xf>
    <xf borderId="15" fillId="4" fontId="37" numFmtId="0" xfId="0" applyAlignment="1" applyBorder="1" applyFont="1">
      <alignment horizontal="center" readingOrder="0" vertical="bottom"/>
    </xf>
    <xf borderId="14" fillId="20" fontId="5" numFmtId="0" xfId="0" applyAlignment="1" applyBorder="1" applyFill="1" applyFont="1">
      <alignment horizontal="right" readingOrder="0" vertical="bottom"/>
    </xf>
    <xf borderId="0" fillId="20" fontId="5" numFmtId="0" xfId="0" applyAlignment="1" applyFont="1">
      <alignment horizontal="center" readingOrder="0" vertical="bottom"/>
    </xf>
    <xf borderId="14" fillId="0" fontId="5" numFmtId="0" xfId="0" applyAlignment="1" applyBorder="1" applyFont="1">
      <alignment horizontal="right" readingOrder="0" vertical="bottom"/>
    </xf>
    <xf borderId="16" fillId="0" fontId="5" numFmtId="0" xfId="0" applyAlignment="1" applyBorder="1" applyFont="1">
      <alignment horizontal="center" readingOrder="0" vertical="bottom"/>
    </xf>
    <xf borderId="14" fillId="21" fontId="6" numFmtId="0" xfId="0" applyAlignment="1" applyBorder="1" applyFill="1" applyFont="1">
      <alignment horizontal="right" readingOrder="0"/>
    </xf>
    <xf borderId="0" fillId="21" fontId="5" numFmtId="0" xfId="0" applyAlignment="1" applyFont="1">
      <alignment horizontal="center" readingOrder="0" vertical="bottom"/>
    </xf>
    <xf borderId="0" fillId="21" fontId="6" numFmtId="0" xfId="0" applyAlignment="1" applyFont="1">
      <alignment horizontal="center" readingOrder="0"/>
    </xf>
    <xf borderId="0" fillId="21" fontId="6" numFmtId="0" xfId="0" applyAlignment="1" applyFont="1">
      <alignment horizontal="center"/>
    </xf>
    <xf borderId="7" fillId="21" fontId="6" numFmtId="0" xfId="0" applyAlignment="1" applyBorder="1" applyFont="1">
      <alignment horizontal="center" readingOrder="0"/>
    </xf>
    <xf borderId="15" fillId="21" fontId="6" numFmtId="0" xfId="0" applyAlignment="1" applyBorder="1" applyFont="1">
      <alignment horizontal="center"/>
    </xf>
    <xf borderId="9" fillId="0" fontId="14" numFmtId="166" xfId="0" applyAlignment="1" applyBorder="1" applyFont="1" applyNumberFormat="1">
      <alignment horizontal="center"/>
    </xf>
    <xf borderId="0" fillId="0" fontId="6" numFmtId="9" xfId="0" applyAlignment="1" applyFont="1" applyNumberFormat="1">
      <alignment horizontal="center"/>
    </xf>
    <xf borderId="0" fillId="0" fontId="14" numFmtId="9" xfId="0" applyAlignment="1" applyFont="1" applyNumberFormat="1">
      <alignment horizontal="center" readingOrder="0"/>
    </xf>
    <xf borderId="0" fillId="0" fontId="14" numFmtId="0" xfId="0" applyFont="1"/>
    <xf borderId="0" fillId="0" fontId="1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4"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inyurl.com/watchlist-sp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inyurl.com/watchlist-spa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9.0"/>
    <col customWidth="1" min="2" max="2" width="19.38"/>
    <col customWidth="1" min="3" max="3" width="12.0"/>
    <col customWidth="1" min="4" max="4" width="9.63"/>
    <col customWidth="1" min="5" max="5" width="11.38"/>
    <col customWidth="1" min="6" max="6" width="13.5"/>
    <col customWidth="1" min="7" max="7" width="13.25"/>
    <col customWidth="1" min="8" max="12" width="13.5"/>
    <col customWidth="1" min="13" max="13" width="11.13"/>
    <col customWidth="1" min="14" max="14" width="10.25"/>
    <col customWidth="1" min="15" max="15" width="10.38"/>
    <col customWidth="1" min="16" max="16" width="11.13"/>
    <col customWidth="1" min="17" max="17" width="12.25"/>
    <col customWidth="1" min="18" max="18" width="10.25"/>
    <col customWidth="1" min="19" max="19" width="9.75"/>
    <col customWidth="1" min="20" max="20" width="14.0"/>
    <col customWidth="1" min="21" max="21" width="7.75"/>
    <col customWidth="1" hidden="1" min="22" max="22" width="17.13"/>
    <col customWidth="1" min="23" max="23" width="66.63"/>
    <col customWidth="1" min="24" max="24" width="8.13"/>
    <col customWidth="1" min="25" max="25" width="7.75"/>
  </cols>
  <sheetData>
    <row r="1">
      <c r="A1" s="1" t="s">
        <v>0</v>
      </c>
      <c r="B1" s="2">
        <v>5000.0</v>
      </c>
      <c r="C1" s="3" t="s">
        <v>1</v>
      </c>
      <c r="D1" s="4">
        <v>1000.0</v>
      </c>
      <c r="E1" s="5" t="s">
        <v>2</v>
      </c>
      <c r="F1" s="6">
        <v>300.0</v>
      </c>
      <c r="G1" s="7" t="s">
        <v>3</v>
      </c>
      <c r="H1" s="8" t="s">
        <v>4</v>
      </c>
      <c r="I1" s="9" t="s">
        <v>5</v>
      </c>
      <c r="J1" s="2" t="str">
        <f>sum(H:H)</f>
        <v>#N/A</v>
      </c>
      <c r="K1" s="9" t="s">
        <v>6</v>
      </c>
      <c r="L1" s="2" t="str">
        <f>sum(I:I)</f>
        <v>#N/A</v>
      </c>
      <c r="M1" s="10" t="s">
        <v>7</v>
      </c>
      <c r="N1" s="11" t="str">
        <f>(L1-J1)/B1</f>
        <v>#N/A</v>
      </c>
      <c r="O1" s="9" t="s">
        <v>8</v>
      </c>
      <c r="P1" s="2" t="str">
        <f>B1-J1</f>
        <v>#N/A</v>
      </c>
      <c r="Q1" s="12" t="str">
        <f>L1-J1+B1</f>
        <v>#N/A</v>
      </c>
      <c r="R1" s="13" t="s">
        <v>9</v>
      </c>
      <c r="S1" s="14"/>
      <c r="T1" s="14"/>
      <c r="U1" s="14"/>
      <c r="V1" s="15"/>
      <c r="W1" s="16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7"/>
    </row>
    <row r="2">
      <c r="A2" s="18" t="s">
        <v>10</v>
      </c>
      <c r="B2" s="19">
        <v>300.0</v>
      </c>
      <c r="C2" s="19">
        <v>300.0</v>
      </c>
      <c r="D2" s="19">
        <v>400.0</v>
      </c>
      <c r="E2" s="20" t="s">
        <v>11</v>
      </c>
      <c r="F2" s="21"/>
      <c r="G2" s="19"/>
      <c r="H2" s="22">
        <v>100.0</v>
      </c>
      <c r="I2" s="22">
        <v>150.0</v>
      </c>
      <c r="J2" s="22">
        <v>250.0</v>
      </c>
      <c r="K2" s="23" t="s">
        <v>12</v>
      </c>
      <c r="L2" s="24"/>
      <c r="M2" s="25"/>
      <c r="N2" s="26"/>
      <c r="O2" s="21"/>
      <c r="P2" s="27"/>
      <c r="Q2" s="27"/>
      <c r="R2" s="28"/>
      <c r="S2" s="29"/>
      <c r="T2" s="29"/>
      <c r="U2" s="29"/>
      <c r="V2" s="30"/>
      <c r="W2" s="31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32"/>
    </row>
    <row r="3">
      <c r="A3" s="33" t="s">
        <v>13</v>
      </c>
      <c r="B3" s="34" t="s">
        <v>14</v>
      </c>
      <c r="C3" s="35" t="s">
        <v>15</v>
      </c>
      <c r="D3" s="36" t="s">
        <v>16</v>
      </c>
      <c r="E3" s="37" t="s">
        <v>17</v>
      </c>
      <c r="F3" s="37" t="s">
        <v>18</v>
      </c>
      <c r="G3" s="37" t="s">
        <v>19</v>
      </c>
      <c r="H3" s="38" t="s">
        <v>20</v>
      </c>
      <c r="I3" s="38" t="s">
        <v>21</v>
      </c>
      <c r="J3" s="39" t="s">
        <v>22</v>
      </c>
      <c r="K3" s="40" t="s">
        <v>23</v>
      </c>
      <c r="L3" s="37" t="s">
        <v>24</v>
      </c>
      <c r="M3" s="41" t="s">
        <v>25</v>
      </c>
      <c r="N3" s="37" t="s">
        <v>26</v>
      </c>
      <c r="O3" s="37" t="s">
        <v>27</v>
      </c>
      <c r="P3" s="42" t="s">
        <v>28</v>
      </c>
      <c r="Q3" s="42" t="s">
        <v>29</v>
      </c>
      <c r="R3" s="37" t="s">
        <v>30</v>
      </c>
      <c r="S3" s="43" t="s">
        <v>31</v>
      </c>
      <c r="T3" s="42" t="s">
        <v>32</v>
      </c>
      <c r="U3" s="42" t="s">
        <v>33</v>
      </c>
      <c r="V3" s="44" t="s">
        <v>34</v>
      </c>
      <c r="W3" s="45" t="s">
        <v>35</v>
      </c>
      <c r="X3" s="37" t="s">
        <v>36</v>
      </c>
      <c r="Y3" s="37" t="s">
        <v>37</v>
      </c>
      <c r="Z3" s="37" t="s">
        <v>38</v>
      </c>
      <c r="AA3" s="37" t="s">
        <v>39</v>
      </c>
      <c r="AB3" s="37" t="s">
        <v>40</v>
      </c>
      <c r="AC3" s="37" t="s">
        <v>41</v>
      </c>
      <c r="AD3" s="37" t="s">
        <v>42</v>
      </c>
      <c r="AE3" s="37" t="s">
        <v>43</v>
      </c>
      <c r="AF3" s="46"/>
      <c r="AG3" s="46"/>
      <c r="AH3" s="46"/>
      <c r="AI3" s="46"/>
      <c r="AJ3" s="46"/>
      <c r="AK3" s="46"/>
      <c r="AL3" s="46"/>
      <c r="AM3" s="46"/>
    </row>
    <row r="4">
      <c r="A4" s="47" t="s">
        <v>44</v>
      </c>
      <c r="B4" s="48" t="str">
        <f>IFERROR(__xludf.DUMMYFUNCTION("GOOGLEFINANCE(A4,""name"")"),"Virgin Galactic Holdings Inc")</f>
        <v>Virgin Galactic Holdings Inc</v>
      </c>
      <c r="C4" s="49"/>
      <c r="D4" s="50">
        <f>IFERROR(__xludf.DUMMYFUNCTION("GOOGLEFINANCE(A4)"),2.52)</f>
        <v>2.52</v>
      </c>
      <c r="E4" s="51"/>
      <c r="F4" s="52">
        <f t="shared" ref="F4:F28" si="1">IF(M4="USD",E4/1.21,E4)</f>
        <v>0</v>
      </c>
      <c r="G4" s="51"/>
      <c r="H4" s="53">
        <f>IFERROR(__xludf.DUMMYFUNCTION("if(isblank(A4)=TRUE,0,if(M4=""GBX"",F4*G4/100,IF(M4=""EUR"",F4*G4/GOOGLEFINANCE(""CURRENCY:GBPEUR""),F4*G4/GOOGLEFINANCE(""CURRENCY:GBPUSD""))))"),0.0)</f>
        <v>0</v>
      </c>
      <c r="I4" s="54">
        <f>IFERROR(__xludf.DUMMYFUNCTION("if(isblank(A4)=TRUE,0,if(M4=""GBX"",D4*G4/100,IF(M4=""EUR"",D4*G4/GOOGLEFINANCE(""CURRENCY:GBPEUR""),D4*G4/GOOGLEFINANCE(""CURRENCY:GBPUSD""))))"),0.0)</f>
        <v>0</v>
      </c>
      <c r="J4" s="55">
        <f t="shared" ref="J4:J28" si="2">H4/$B$1</f>
        <v>0</v>
      </c>
      <c r="K4" s="55" t="str">
        <f t="shared" ref="K4:K28" si="3">I4/H4-1</f>
        <v>#DIV/0!</v>
      </c>
      <c r="L4" s="56" t="str">
        <f>IFERROR(__xludf.DUMMYFUNCTION("SPARKLINE(GoogleFinance(A4, ""price"", TODAY()-30, TODAY()),{""color"",""blue"";""linewidth"",2})        "),"")</f>
        <v/>
      </c>
      <c r="M4" s="17" t="str">
        <f>IFERROR(__xludf.DUMMYFUNCTION("GOOGLEFINANCE(A4,""currency"")"),"USD")</f>
        <v>USD</v>
      </c>
      <c r="N4" s="57">
        <f t="shared" ref="N4:N28" si="4">round(D4/AE4-1,4)</f>
        <v>-0.0156</v>
      </c>
      <c r="O4" s="58">
        <f>IFERROR(__xludf.DUMMYFUNCTION("GOOGLEFINANCE(A4,""Change"")"),-0.04)</f>
        <v>-0.04</v>
      </c>
      <c r="P4" s="59">
        <f>IFERROR(__xludf.DUMMYFUNCTION("GOOGLEFINANCE(A4,""High"")"),2.54)</f>
        <v>2.54</v>
      </c>
      <c r="Q4" s="59">
        <f>IFERROR(__xludf.DUMMYFUNCTION("GOOGLEFINANCE(A4,""low"")"),2.46)</f>
        <v>2.46</v>
      </c>
      <c r="R4" s="57">
        <f>IFERROR(__xludf.DUMMYFUNCTION("abs(P4-Q4)/GOOGLEFINANCE(A4,""closeyest"")"),0.03125000000000003)</f>
        <v>0.03125</v>
      </c>
      <c r="S4" s="60">
        <f t="shared" ref="S4:S28" si="5">D4/Y4-1</f>
        <v>0.1559633028</v>
      </c>
      <c r="T4" s="61">
        <v>43.0</v>
      </c>
      <c r="U4" s="62"/>
      <c r="V4" s="63"/>
      <c r="W4" s="64" t="str">
        <f t="shared" ref="W4:W28" si="6">IF(ISERROR(if(or(AND(Q4&lt;=T4,T4&lt;=P4),AND(Q4&lt;=U4, U4&lt;=P4)),"TRADE ALERT","")),"DATA UNAVAILABLE",if(or(AND(Q4&lt;=T4,T4&lt;=P4),T4&gt;P4,AND(Q4&lt;=U4, U4&lt;=P4)),"TRADE ALERT"&amp;" - Price level hit for "&amp;A4&amp;" currently at "&amp;D4&amp;" "&amp;B4,""))</f>
        <v>TRADE ALERT - Price level hit for SPCE currently at 2.52 Virgin Galactic Holdings Inc</v>
      </c>
      <c r="X4" s="65">
        <f>IFERROR(__xludf.DUMMYFUNCTION("GOOGLEFINANCE($A4,X$3)"),2.21)</f>
        <v>2.21</v>
      </c>
      <c r="Y4" s="65">
        <f>IFERROR(__xludf.DUMMYFUNCTION("GOOGLEFINANCE($A4,Y$3)"),2.18)</f>
        <v>2.18</v>
      </c>
      <c r="Z4" s="65">
        <f>IFERROR(__xludf.DUMMYFUNCTION("GOOGLEFINANCE($A4,Z$3)"),6.64)</f>
        <v>6.64</v>
      </c>
      <c r="AA4" s="65" t="str">
        <f>IFERROR(__xludf.DUMMYFUNCTION("GOOGLEFINANCE($A4,AA$3)"),"#N/A")</f>
        <v>#N/A</v>
      </c>
      <c r="AB4" s="65" t="str">
        <f>IFERROR(__xludf.DUMMYFUNCTION("GOOGLEFINANCE($A4,AB$3)"),"#N/A")</f>
        <v>#N/A</v>
      </c>
      <c r="AC4" s="65">
        <f>IFERROR(__xludf.DUMMYFUNCTION("GOOGLEFINANCE($A4,AC$3)"),0.0)</f>
        <v>0</v>
      </c>
      <c r="AD4" s="65">
        <f>IFERROR(__xludf.DUMMYFUNCTION("GOOGLEFINANCE($A4,AD$3)"),1.8428591E8)</f>
        <v>184285910</v>
      </c>
      <c r="AE4" s="65">
        <f>IFERROR(__xludf.DUMMYFUNCTION("GOOGLEFINANCE($A4,AE$3)"),2.56)</f>
        <v>2.56</v>
      </c>
      <c r="AF4" s="17"/>
      <c r="AG4" s="17"/>
      <c r="AH4" s="17"/>
      <c r="AI4" s="17"/>
      <c r="AJ4" s="17"/>
      <c r="AK4" s="17"/>
    </row>
    <row r="5">
      <c r="A5" s="47" t="s">
        <v>45</v>
      </c>
      <c r="B5" s="48" t="str">
        <f>IFERROR(__xludf.DUMMYFUNCTION("GOOGLEFINANCE(A5,""name"")"),"Jumia Technologies AG - ADR")</f>
        <v>Jumia Technologies AG - ADR</v>
      </c>
      <c r="C5" s="49"/>
      <c r="D5" s="50">
        <f>IFERROR(__xludf.DUMMYFUNCTION("GOOGLEFINANCE(A5)"),9.34)</f>
        <v>9.34</v>
      </c>
      <c r="E5" s="51"/>
      <c r="F5" s="52">
        <f t="shared" si="1"/>
        <v>0</v>
      </c>
      <c r="G5" s="51"/>
      <c r="H5" s="53">
        <f>IFERROR(__xludf.DUMMYFUNCTION("if(isblank(A5)=TRUE,0,if(M5=""GBX"",F5*G5/100,IF(M5=""EUR"",F5*G5/GOOGLEFINANCE(""CURRENCY:GBPEUR""),F5*G5/GOOGLEFINANCE(""CURRENCY:GBPUSD""))))"),0.0)</f>
        <v>0</v>
      </c>
      <c r="I5" s="54">
        <f>IFERROR(__xludf.DUMMYFUNCTION("if(isblank(A5)=TRUE,0,if(M5=""GBX"",D5*G5/100,IF(M5=""EUR"",D5*G5/GOOGLEFINANCE(""CURRENCY:GBPEUR""),D5*G5/GOOGLEFINANCE(""CURRENCY:GBPUSD""))))"),0.0)</f>
        <v>0</v>
      </c>
      <c r="J5" s="55">
        <f t="shared" si="2"/>
        <v>0</v>
      </c>
      <c r="K5" s="55" t="str">
        <f t="shared" si="3"/>
        <v>#DIV/0!</v>
      </c>
      <c r="L5" s="56" t="str">
        <f>IFERROR(__xludf.DUMMYFUNCTION("SPARKLINE(GoogleFinance(A5, ""price"", TODAY()-30, TODAY()),{""color"",""blue"";""linewidth"",2})        "),"")</f>
        <v/>
      </c>
      <c r="M5" s="17" t="str">
        <f>IFERROR(__xludf.DUMMYFUNCTION("GOOGLEFINANCE(A5,""currency"")"),"USD")</f>
        <v>USD</v>
      </c>
      <c r="N5" s="57">
        <f t="shared" si="4"/>
        <v>0.0021</v>
      </c>
      <c r="O5" s="58">
        <f>IFERROR(__xludf.DUMMYFUNCTION("GOOGLEFINANCE(A5,""Change"")"),0.02)</f>
        <v>0.02</v>
      </c>
      <c r="P5" s="59">
        <f>IFERROR(__xludf.DUMMYFUNCTION("GOOGLEFINANCE(A5,""High"")"),9.34)</f>
        <v>9.34</v>
      </c>
      <c r="Q5" s="59">
        <f>IFERROR(__xludf.DUMMYFUNCTION("GOOGLEFINANCE(A5,""low"")"),9.01)</f>
        <v>9.01</v>
      </c>
      <c r="R5" s="57">
        <f>IFERROR(__xludf.DUMMYFUNCTION("abs(P5-Q5)/GOOGLEFINANCE(A5,""closeyest"")"),0.03540772532188842)</f>
        <v>0.03540772532</v>
      </c>
      <c r="S5" s="60">
        <f t="shared" si="5"/>
        <v>4.8375</v>
      </c>
      <c r="T5" s="61">
        <v>39.0</v>
      </c>
      <c r="U5" s="62"/>
      <c r="V5" s="63"/>
      <c r="W5" s="64" t="str">
        <f t="shared" si="6"/>
        <v>TRADE ALERT - Price level hit for JMIA currently at 9.34 Jumia Technologies AG - ADR</v>
      </c>
      <c r="X5" s="65">
        <f>IFERROR(__xludf.DUMMYFUNCTION("GOOGLEFINANCE($A5,X$3)"),2.34)</f>
        <v>2.34</v>
      </c>
      <c r="Y5" s="65">
        <f>IFERROR(__xludf.DUMMYFUNCTION("GOOGLEFINANCE($A5,Y$3)"),1.6)</f>
        <v>1.6</v>
      </c>
      <c r="Z5" s="65">
        <f>IFERROR(__xludf.DUMMYFUNCTION("GOOGLEFINANCE($A5,Z$3)"),14.72)</f>
        <v>14.72</v>
      </c>
      <c r="AA5" s="65" t="str">
        <f>IFERROR(__xludf.DUMMYFUNCTION("GOOGLEFINANCE($A5,AA$3)"),"#N/A")</f>
        <v>#N/A</v>
      </c>
      <c r="AB5" s="65" t="str">
        <f>IFERROR(__xludf.DUMMYFUNCTION("GOOGLEFINANCE($A5,AB$3)"),"#N/A")</f>
        <v>#N/A</v>
      </c>
      <c r="AC5" s="65">
        <f>IFERROR(__xludf.DUMMYFUNCTION("GOOGLEFINANCE($A5,AC$3)"),0.0)</f>
        <v>0</v>
      </c>
      <c r="AD5" s="65">
        <f>IFERROR(__xludf.DUMMYFUNCTION("GOOGLEFINANCE($A5,AD$3)"),1.142577914E9)</f>
        <v>1142577914</v>
      </c>
      <c r="AE5" s="65">
        <f>IFERROR(__xludf.DUMMYFUNCTION("GOOGLEFINANCE($A5,AE$3)"),9.32)</f>
        <v>9.32</v>
      </c>
      <c r="AF5" s="17"/>
      <c r="AG5" s="17"/>
      <c r="AH5" s="17"/>
      <c r="AI5" s="17"/>
      <c r="AJ5" s="17"/>
      <c r="AK5" s="17"/>
    </row>
    <row r="6">
      <c r="A6" s="47" t="s">
        <v>46</v>
      </c>
      <c r="B6" s="48" t="str">
        <f>IFERROR(__xludf.DUMMYFUNCTION("GOOGLEFINANCE(A6,""name"")"),"#N/A")</f>
        <v>#N/A</v>
      </c>
      <c r="C6" s="49"/>
      <c r="D6" s="50" t="str">
        <f>IFERROR(__xludf.DUMMYFUNCTION("GOOGLEFINANCE(A6)"),"#N/A")</f>
        <v>#N/A</v>
      </c>
      <c r="E6" s="51"/>
      <c r="F6" s="52" t="str">
        <f t="shared" si="1"/>
        <v>#N/A</v>
      </c>
      <c r="G6" s="51"/>
      <c r="H6" s="53" t="str">
        <f>IFERROR(__xludf.DUMMYFUNCTION("if(isblank(A6)=TRUE,0,if(M6=""GBX"",F6*G6/100,IF(M6=""EUR"",F6*G6/GOOGLEFINANCE(""CURRENCY:GBPEUR""),F6*G6/GOOGLEFINANCE(""CURRENCY:GBPUSD""))))"),"#N/A")</f>
        <v>#N/A</v>
      </c>
      <c r="I6" s="54" t="str">
        <f>IFERROR(__xludf.DUMMYFUNCTION("if(isblank(A6)=TRUE,0,if(M6=""GBX"",D6*G6/100,IF(M6=""EUR"",D6*G6/GOOGLEFINANCE(""CURRENCY:GBPEUR""),D6*G6/GOOGLEFINANCE(""CURRENCY:GBPUSD""))))"),"#N/A")</f>
        <v>#N/A</v>
      </c>
      <c r="J6" s="55" t="str">
        <f t="shared" si="2"/>
        <v>#N/A</v>
      </c>
      <c r="K6" s="55" t="str">
        <f t="shared" si="3"/>
        <v>#N/A</v>
      </c>
      <c r="L6" s="56" t="str">
        <f>IFERROR(__xludf.DUMMYFUNCTION("SPARKLINE(GoogleFinance(A6, ""price"", TODAY()-30, TODAY()),{""color"",""blue"";""linewidth"",2})        "),"#N/A")</f>
        <v>#N/A</v>
      </c>
      <c r="M6" s="17" t="str">
        <f>IFERROR(__xludf.DUMMYFUNCTION("GOOGLEFINANCE(A6,""currency"")"),"#N/A")</f>
        <v>#N/A</v>
      </c>
      <c r="N6" s="57" t="str">
        <f t="shared" si="4"/>
        <v>#N/A</v>
      </c>
      <c r="O6" s="58" t="str">
        <f>IFERROR(__xludf.DUMMYFUNCTION("GOOGLEFINANCE(A6,""Change"")"),"#N/A")</f>
        <v>#N/A</v>
      </c>
      <c r="P6" s="59" t="str">
        <f>IFERROR(__xludf.DUMMYFUNCTION("GOOGLEFINANCE(A6,""High"")"),"#N/A")</f>
        <v>#N/A</v>
      </c>
      <c r="Q6" s="59" t="str">
        <f>IFERROR(__xludf.DUMMYFUNCTION("GOOGLEFINANCE(A6,""low"")"),"#N/A")</f>
        <v>#N/A</v>
      </c>
      <c r="R6" s="57" t="str">
        <f>IFERROR(__xludf.DUMMYFUNCTION("abs(P6-Q6)/GOOGLEFINANCE(A6,""closeyest"")"),"#N/A")</f>
        <v>#N/A</v>
      </c>
      <c r="S6" s="60" t="str">
        <f t="shared" si="5"/>
        <v>#N/A</v>
      </c>
      <c r="T6" s="61">
        <v>1.95</v>
      </c>
      <c r="U6" s="62"/>
      <c r="V6" s="63"/>
      <c r="W6" s="64" t="str">
        <f t="shared" si="6"/>
        <v>DATA UNAVAILABLE</v>
      </c>
      <c r="X6" s="65" t="str">
        <f>IFERROR(__xludf.DUMMYFUNCTION("GOOGLEFINANCE($A6,X$3)"),"#N/A")</f>
        <v>#N/A</v>
      </c>
      <c r="Y6" s="65" t="str">
        <f>IFERROR(__xludf.DUMMYFUNCTION("GOOGLEFINANCE($A6,Y$3)"),"#N/A")</f>
        <v>#N/A</v>
      </c>
      <c r="Z6" s="65" t="str">
        <f>IFERROR(__xludf.DUMMYFUNCTION("GOOGLEFINANCE($A6,Z$3)"),"#N/A")</f>
        <v>#N/A</v>
      </c>
      <c r="AA6" s="65" t="str">
        <f>IFERROR(__xludf.DUMMYFUNCTION("GOOGLEFINANCE($A6,AA$3)"),"#N/A")</f>
        <v>#N/A</v>
      </c>
      <c r="AB6" s="65" t="str">
        <f>IFERROR(__xludf.DUMMYFUNCTION("GOOGLEFINANCE($A6,AB$3)"),"#N/A")</f>
        <v>#N/A</v>
      </c>
      <c r="AC6" s="65" t="str">
        <f>IFERROR(__xludf.DUMMYFUNCTION("GOOGLEFINANCE($A6,AC$3)"),"#N/A")</f>
        <v>#N/A</v>
      </c>
      <c r="AD6" s="65" t="str">
        <f>IFERROR(__xludf.DUMMYFUNCTION("GOOGLEFINANCE($A6,AD$3)"),"#N/A")</f>
        <v>#N/A</v>
      </c>
      <c r="AE6" s="65" t="str">
        <f>IFERROR(__xludf.DUMMYFUNCTION("GOOGLEFINANCE($A6,AE$3)"),"#N/A")</f>
        <v>#N/A</v>
      </c>
      <c r="AF6" s="17"/>
      <c r="AG6" s="17"/>
      <c r="AH6" s="17"/>
      <c r="AI6" s="17"/>
      <c r="AJ6" s="17"/>
      <c r="AK6" s="17"/>
    </row>
    <row r="7">
      <c r="A7" s="47" t="s">
        <v>47</v>
      </c>
      <c r="B7" s="48" t="str">
        <f>IFERROR(__xludf.DUMMYFUNCTION("GOOGLEFINANCE(A7,""name"")"),"Russell Inv Australian Government Bond ETF")</f>
        <v>Russell Inv Australian Government Bond ETF</v>
      </c>
      <c r="C7" s="49"/>
      <c r="D7" s="50">
        <f>IFERROR(__xludf.DUMMYFUNCTION("GOOGLEFINANCE(A7)"),19.02)</f>
        <v>19.02</v>
      </c>
      <c r="E7" s="51"/>
      <c r="F7" s="52" t="str">
        <f t="shared" si="1"/>
        <v/>
      </c>
      <c r="G7" s="51"/>
      <c r="H7" s="53">
        <f>IFERROR(__xludf.DUMMYFUNCTION("if(isblank(A7)=TRUE,0,if(M7=""GBX"",F7*G7/100,IF(M7=""EUR"",F7*G7/GOOGLEFINANCE(""CURRENCY:GBPEUR""),F7*G7/GOOGLEFINANCE(""CURRENCY:GBPUSD""))))"),0.0)</f>
        <v>0</v>
      </c>
      <c r="I7" s="54">
        <f>IFERROR(__xludf.DUMMYFUNCTION("if(isblank(A7)=TRUE,0,if(M7=""GBX"",D7*G7/100,IF(M7=""EUR"",D7*G7/GOOGLEFINANCE(""CURRENCY:GBPEUR""),D7*G7/GOOGLEFINANCE(""CURRENCY:GBPUSD""))))"),0.0)</f>
        <v>0</v>
      </c>
      <c r="J7" s="55">
        <f t="shared" si="2"/>
        <v>0</v>
      </c>
      <c r="K7" s="55" t="str">
        <f t="shared" si="3"/>
        <v>#DIV/0!</v>
      </c>
      <c r="L7" s="56" t="str">
        <f>IFERROR(__xludf.DUMMYFUNCTION("SPARKLINE(GoogleFinance(A7, ""price"", TODAY()-30, TODAY()),{""color"",""blue"";""linewidth"",2})        "),"")</f>
        <v/>
      </c>
      <c r="M7" s="17" t="str">
        <f>IFERROR(__xludf.DUMMYFUNCTION("GOOGLEFINANCE(A7,""currency"")"),"AUD")</f>
        <v>AUD</v>
      </c>
      <c r="N7" s="57">
        <f t="shared" si="4"/>
        <v>0.0016</v>
      </c>
      <c r="O7" s="58">
        <f>IFERROR(__xludf.DUMMYFUNCTION("GOOGLEFINANCE(A7,""Change"")"),0.03)</f>
        <v>0.03</v>
      </c>
      <c r="P7" s="59">
        <f>IFERROR(__xludf.DUMMYFUNCTION("GOOGLEFINANCE(A7,""High"")"),19.02)</f>
        <v>19.02</v>
      </c>
      <c r="Q7" s="59">
        <f>IFERROR(__xludf.DUMMYFUNCTION("GOOGLEFINANCE(A7,""low"")"),18.95)</f>
        <v>18.95</v>
      </c>
      <c r="R7" s="57">
        <f>IFERROR(__xludf.DUMMYFUNCTION("abs(P7-Q7)/GOOGLEFINANCE(A7,""closeyest"")"),0.0036861506055819006)</f>
        <v>0.003686150606</v>
      </c>
      <c r="S7" s="60">
        <f t="shared" si="5"/>
        <v>0.01711229947</v>
      </c>
      <c r="T7" s="61">
        <v>115.0</v>
      </c>
      <c r="U7" s="62"/>
      <c r="V7" s="63"/>
      <c r="W7" s="64" t="str">
        <f t="shared" si="6"/>
        <v>TRADE ALERT - Price level hit for RGB currently at 19.02 Russell Inv Australian Government Bond ETF</v>
      </c>
      <c r="X7" s="65" t="str">
        <f>IFERROR(__xludf.DUMMYFUNCTION("GOOGLEFINANCE($A7,X$3)"),"#N/A")</f>
        <v>#N/A</v>
      </c>
      <c r="Y7" s="65">
        <f>IFERROR(__xludf.DUMMYFUNCTION("GOOGLEFINANCE($A7,Y$3)"),18.7)</f>
        <v>18.7</v>
      </c>
      <c r="Z7" s="65">
        <f>IFERROR(__xludf.DUMMYFUNCTION("GOOGLEFINANCE($A7,Z$3)"),20.02)</f>
        <v>20.02</v>
      </c>
      <c r="AA7" s="65" t="str">
        <f>IFERROR(__xludf.DUMMYFUNCTION("GOOGLEFINANCE($A7,AA$3)"),"#N/A")</f>
        <v>#N/A</v>
      </c>
      <c r="AB7" s="65" t="str">
        <f>IFERROR(__xludf.DUMMYFUNCTION("GOOGLEFINANCE($A7,AB$3)"),"#N/A")</f>
        <v>#N/A</v>
      </c>
      <c r="AC7" s="65">
        <f>IFERROR(__xludf.DUMMYFUNCTION("GOOGLEFINANCE($A7,AC$3)"),20.0)</f>
        <v>20</v>
      </c>
      <c r="AD7" s="65" t="str">
        <f>IFERROR(__xludf.DUMMYFUNCTION("GOOGLEFINANCE($A7,AD$3)"),"#N/A")</f>
        <v>#N/A</v>
      </c>
      <c r="AE7" s="65">
        <f>IFERROR(__xludf.DUMMYFUNCTION("GOOGLEFINANCE($A7,AE$3)"),18.99)</f>
        <v>18.99</v>
      </c>
      <c r="AF7" s="17"/>
      <c r="AG7" s="17"/>
      <c r="AH7" s="17"/>
      <c r="AI7" s="17"/>
      <c r="AJ7" s="17"/>
      <c r="AK7" s="17"/>
    </row>
    <row r="8">
      <c r="A8" s="47" t="s">
        <v>48</v>
      </c>
      <c r="B8" s="48" t="str">
        <f>IFERROR(__xludf.DUMMYFUNCTION("GOOGLEFINANCE(A8,""name"")"),"Eastman Kodak Co")</f>
        <v>Eastman Kodak Co</v>
      </c>
      <c r="C8" s="49"/>
      <c r="D8" s="50">
        <f>IFERROR(__xludf.DUMMYFUNCTION("GOOGLEFINANCE(A8)"),7.73)</f>
        <v>7.73</v>
      </c>
      <c r="E8" s="51"/>
      <c r="F8" s="52">
        <f t="shared" si="1"/>
        <v>0</v>
      </c>
      <c r="G8" s="51"/>
      <c r="H8" s="53">
        <f>IFERROR(__xludf.DUMMYFUNCTION("if(isblank(A8)=TRUE,0,if(M8=""GBX"",F8*G8/100,IF(M8=""EUR"",F8*G8/GOOGLEFINANCE(""CURRENCY:GBPEUR""),F8*G8/GOOGLEFINANCE(""CURRENCY:GBPUSD""))))"),0.0)</f>
        <v>0</v>
      </c>
      <c r="I8" s="54">
        <f>IFERROR(__xludf.DUMMYFUNCTION("if(isblank(A8)=TRUE,0,if(M8=""GBX"",D8*G8/100,IF(M8=""EUR"",D8*G8/GOOGLEFINANCE(""CURRENCY:GBPEUR""),D8*G8/GOOGLEFINANCE(""CURRENCY:GBPUSD""))))"),0.0)</f>
        <v>0</v>
      </c>
      <c r="J8" s="55">
        <f t="shared" si="2"/>
        <v>0</v>
      </c>
      <c r="K8" s="55" t="str">
        <f t="shared" si="3"/>
        <v>#DIV/0!</v>
      </c>
      <c r="L8" s="56" t="str">
        <f>IFERROR(__xludf.DUMMYFUNCTION("SPARKLINE(GoogleFinance(A8, ""price"", TODAY()-30, TODAY()),{""color"",""blue"";""linewidth"",2})        "),"")</f>
        <v/>
      </c>
      <c r="M8" s="17" t="str">
        <f>IFERROR(__xludf.DUMMYFUNCTION("GOOGLEFINANCE(A8,""currency"")"),"USD")</f>
        <v>USD</v>
      </c>
      <c r="N8" s="57">
        <f t="shared" si="4"/>
        <v>0.0078</v>
      </c>
      <c r="O8" s="58">
        <f>IFERROR(__xludf.DUMMYFUNCTION("GOOGLEFINANCE(A8,""Change"")"),0.05)</f>
        <v>0.05</v>
      </c>
      <c r="P8" s="59">
        <f>IFERROR(__xludf.DUMMYFUNCTION("GOOGLEFINANCE(A8,""High"")"),7.8)</f>
        <v>7.8</v>
      </c>
      <c r="Q8" s="59">
        <f>IFERROR(__xludf.DUMMYFUNCTION("GOOGLEFINANCE(A8,""low"")"),7.52)</f>
        <v>7.52</v>
      </c>
      <c r="R8" s="57">
        <f>IFERROR(__xludf.DUMMYFUNCTION("abs(P8-Q8)/GOOGLEFINANCE(A8,""closeyest"")"),0.03650586701434162)</f>
        <v>0.03650586701</v>
      </c>
      <c r="S8" s="60">
        <f t="shared" si="5"/>
        <v>0.5679513185</v>
      </c>
      <c r="T8" s="61">
        <v>76.0</v>
      </c>
      <c r="U8" s="62"/>
      <c r="V8" s="63"/>
      <c r="W8" s="64" t="str">
        <f t="shared" si="6"/>
        <v>TRADE ALERT - Price level hit for KODK currently at 7.73 Eastman Kodak Co</v>
      </c>
      <c r="X8" s="65">
        <f>IFERROR(__xludf.DUMMYFUNCTION("GOOGLEFINANCE($A8,X$3)"),1.47)</f>
        <v>1.47</v>
      </c>
      <c r="Y8" s="65">
        <f>IFERROR(__xludf.DUMMYFUNCTION("GOOGLEFINANCE($A8,Y$3)"),4.93)</f>
        <v>4.93</v>
      </c>
      <c r="Z8" s="65">
        <f>IFERROR(__xludf.DUMMYFUNCTION("GOOGLEFINANCE($A8,Z$3)"),9.96)</f>
        <v>9.96</v>
      </c>
      <c r="AA8" s="65" t="str">
        <f>IFERROR(__xludf.DUMMYFUNCTION("GOOGLEFINANCE($A8,AA$3)"),"#N/A")</f>
        <v>#N/A</v>
      </c>
      <c r="AB8" s="65" t="str">
        <f>IFERROR(__xludf.DUMMYFUNCTION("GOOGLEFINANCE($A8,AB$3)"),"#N/A")</f>
        <v>#N/A</v>
      </c>
      <c r="AC8" s="65">
        <f>IFERROR(__xludf.DUMMYFUNCTION("GOOGLEFINANCE($A8,AC$3)"),0.0)</f>
        <v>0</v>
      </c>
      <c r="AD8" s="65">
        <f>IFERROR(__xludf.DUMMYFUNCTION("GOOGLEFINANCE($A8,AD$3)"),7.4468999E8)</f>
        <v>744689990</v>
      </c>
      <c r="AE8" s="65">
        <f>IFERROR(__xludf.DUMMYFUNCTION("GOOGLEFINANCE($A8,AE$3)"),7.67)</f>
        <v>7.67</v>
      </c>
      <c r="AF8" s="17"/>
      <c r="AG8" s="17"/>
      <c r="AH8" s="17"/>
      <c r="AI8" s="17"/>
      <c r="AJ8" s="17"/>
      <c r="AK8" s="17"/>
    </row>
    <row r="9">
      <c r="A9" s="47"/>
      <c r="B9" s="48" t="str">
        <f>IFERROR(__xludf.DUMMYFUNCTION("GOOGLEFINANCE(A9,""name"")"),"#N/A")</f>
        <v>#N/A</v>
      </c>
      <c r="C9" s="49"/>
      <c r="D9" s="50" t="str">
        <f>IFERROR(__xludf.DUMMYFUNCTION("GOOGLEFINANCE(A9)"),"#N/A")</f>
        <v>#N/A</v>
      </c>
      <c r="E9" s="51"/>
      <c r="F9" s="52" t="str">
        <f t="shared" si="1"/>
        <v>#N/A</v>
      </c>
      <c r="G9" s="51"/>
      <c r="H9" s="53">
        <f>IFERROR(__xludf.DUMMYFUNCTION("if(isblank(A9)=TRUE,0,if(M9=""GBX"",F9*G9/100,IF(M9=""EUR"",F9*G9/GOOGLEFINANCE(""CURRENCY:GBPEUR""),F9*G9/GOOGLEFINANCE(""CURRENCY:GBPUSD""))))"),0.0)</f>
        <v>0</v>
      </c>
      <c r="I9" s="54">
        <f>IFERROR(__xludf.DUMMYFUNCTION("if(isblank(A9)=TRUE,0,if(M9=""GBX"",D9*G9/100,IF(M9=""EUR"",D9*G9/GOOGLEFINANCE(""CURRENCY:GBPEUR""),D9*G9/GOOGLEFINANCE(""CURRENCY:GBPUSD""))))"),0.0)</f>
        <v>0</v>
      </c>
      <c r="J9" s="55">
        <f t="shared" si="2"/>
        <v>0</v>
      </c>
      <c r="K9" s="55" t="str">
        <f t="shared" si="3"/>
        <v>#DIV/0!</v>
      </c>
      <c r="L9" s="56" t="str">
        <f>IFERROR(__xludf.DUMMYFUNCTION("SPARKLINE(GoogleFinance(A9, ""price"", TODAY()-30, TODAY()),{""color"",""blue"";""linewidth"",2})        "),"#N/A")</f>
        <v>#N/A</v>
      </c>
      <c r="M9" s="17" t="str">
        <f>IFERROR(__xludf.DUMMYFUNCTION("GOOGLEFINANCE(A9,""currency"")"),"#N/A")</f>
        <v>#N/A</v>
      </c>
      <c r="N9" s="57" t="str">
        <f t="shared" si="4"/>
        <v>#N/A</v>
      </c>
      <c r="O9" s="58" t="str">
        <f>IFERROR(__xludf.DUMMYFUNCTION("GOOGLEFINANCE(A9,""Change"")"),"#N/A")</f>
        <v>#N/A</v>
      </c>
      <c r="P9" s="59" t="str">
        <f>IFERROR(__xludf.DUMMYFUNCTION("GOOGLEFINANCE(A9,""High"")"),"#N/A")</f>
        <v>#N/A</v>
      </c>
      <c r="Q9" s="59" t="str">
        <f>IFERROR(__xludf.DUMMYFUNCTION("GOOGLEFINANCE(A9,""low"")"),"#N/A")</f>
        <v>#N/A</v>
      </c>
      <c r="R9" s="57" t="str">
        <f>IFERROR(__xludf.DUMMYFUNCTION("abs(P9-Q9)/GOOGLEFINANCE(A9,""closeyest"")"),"#N/A")</f>
        <v>#N/A</v>
      </c>
      <c r="S9" s="60" t="str">
        <f t="shared" si="5"/>
        <v>#N/A</v>
      </c>
      <c r="T9" s="61">
        <v>15.0</v>
      </c>
      <c r="U9" s="62"/>
      <c r="V9" s="63"/>
      <c r="W9" s="64" t="str">
        <f t="shared" si="6"/>
        <v>DATA UNAVAILABLE</v>
      </c>
      <c r="X9" s="65" t="str">
        <f>IFERROR(__xludf.DUMMYFUNCTION("GOOGLEFINANCE($A9,X$3)"),"#N/A")</f>
        <v>#N/A</v>
      </c>
      <c r="Y9" s="65" t="str">
        <f>IFERROR(__xludf.DUMMYFUNCTION("GOOGLEFINANCE($A9,Y$3)"),"#N/A")</f>
        <v>#N/A</v>
      </c>
      <c r="Z9" s="65" t="str">
        <f>IFERROR(__xludf.DUMMYFUNCTION("GOOGLEFINANCE($A9,Z$3)"),"#N/A")</f>
        <v>#N/A</v>
      </c>
      <c r="AA9" s="65" t="str">
        <f>IFERROR(__xludf.DUMMYFUNCTION("GOOGLEFINANCE($A9,AA$3)"),"#N/A")</f>
        <v>#N/A</v>
      </c>
      <c r="AB9" s="65" t="str">
        <f>IFERROR(__xludf.DUMMYFUNCTION("GOOGLEFINANCE($A9,AB$3)"),"#N/A")</f>
        <v>#N/A</v>
      </c>
      <c r="AC9" s="65" t="str">
        <f>IFERROR(__xludf.DUMMYFUNCTION("GOOGLEFINANCE($A9,AC$3)"),"#N/A")</f>
        <v>#N/A</v>
      </c>
      <c r="AD9" s="65" t="str">
        <f>IFERROR(__xludf.DUMMYFUNCTION("GOOGLEFINANCE($A9,AD$3)"),"#N/A")</f>
        <v>#N/A</v>
      </c>
      <c r="AE9" s="65" t="str">
        <f>IFERROR(__xludf.DUMMYFUNCTION("GOOGLEFINANCE($A9,AE$3)"),"#N/A")</f>
        <v>#N/A</v>
      </c>
      <c r="AF9" s="17"/>
      <c r="AG9" s="17"/>
      <c r="AH9" s="17"/>
      <c r="AI9" s="17"/>
      <c r="AJ9" s="17"/>
      <c r="AK9" s="17"/>
    </row>
    <row r="10">
      <c r="A10" s="47"/>
      <c r="B10" s="48" t="str">
        <f>IFERROR(__xludf.DUMMYFUNCTION("GOOGLEFINANCE(A10,""name"")"),"#N/A")</f>
        <v>#N/A</v>
      </c>
      <c r="C10" s="49"/>
      <c r="D10" s="50" t="str">
        <f>IFERROR(__xludf.DUMMYFUNCTION("GOOGLEFINANCE(A10)"),"#N/A")</f>
        <v>#N/A</v>
      </c>
      <c r="E10" s="51"/>
      <c r="F10" s="52" t="str">
        <f t="shared" si="1"/>
        <v>#N/A</v>
      </c>
      <c r="G10" s="51"/>
      <c r="H10" s="53">
        <f>IFERROR(__xludf.DUMMYFUNCTION("if(isblank(A10)=TRUE,0,if(M10=""GBX"",F10*G10/100,IF(M10=""EUR"",F10*G10/GOOGLEFINANCE(""CURRENCY:GBPEUR""),F10*G10/GOOGLEFINANCE(""CURRENCY:GBPUSD""))))"),0.0)</f>
        <v>0</v>
      </c>
      <c r="I10" s="54">
        <f>IFERROR(__xludf.DUMMYFUNCTION("if(isblank(A10)=TRUE,0,if(M10=""GBX"",D10*G10/100,IF(M10=""EUR"",D10*G10/GOOGLEFINANCE(""CURRENCY:GBPEUR""),D10*G10/GOOGLEFINANCE(""CURRENCY:GBPUSD""))))"),0.0)</f>
        <v>0</v>
      </c>
      <c r="J10" s="55">
        <f t="shared" si="2"/>
        <v>0</v>
      </c>
      <c r="K10" s="55" t="str">
        <f t="shared" si="3"/>
        <v>#DIV/0!</v>
      </c>
      <c r="L10" s="56" t="str">
        <f>IFERROR(__xludf.DUMMYFUNCTION("SPARKLINE(GoogleFinance(A10, ""price"", TODAY()-30, TODAY()),{""color"",""blue"";""linewidth"",2})        "),"#N/A")</f>
        <v>#N/A</v>
      </c>
      <c r="M10" s="17" t="str">
        <f>IFERROR(__xludf.DUMMYFUNCTION("GOOGLEFINANCE(A10,""currency"")"),"#N/A")</f>
        <v>#N/A</v>
      </c>
      <c r="N10" s="57" t="str">
        <f t="shared" si="4"/>
        <v>#N/A</v>
      </c>
      <c r="O10" s="58" t="str">
        <f>IFERROR(__xludf.DUMMYFUNCTION("GOOGLEFINANCE(A10,""Change"")"),"#N/A")</f>
        <v>#N/A</v>
      </c>
      <c r="P10" s="59" t="str">
        <f>IFERROR(__xludf.DUMMYFUNCTION("GOOGLEFINANCE(A10,""High"")"),"#N/A")</f>
        <v>#N/A</v>
      </c>
      <c r="Q10" s="59" t="str">
        <f>IFERROR(__xludf.DUMMYFUNCTION("GOOGLEFINANCE(A10,""low"")"),"#N/A")</f>
        <v>#N/A</v>
      </c>
      <c r="R10" s="57" t="str">
        <f>IFERROR(__xludf.DUMMYFUNCTION("abs(P10-Q10)/GOOGLEFINANCE(A10,""closeyest"")"),"#N/A")</f>
        <v>#N/A</v>
      </c>
      <c r="S10" s="60" t="str">
        <f t="shared" si="5"/>
        <v>#N/A</v>
      </c>
      <c r="T10" s="61">
        <v>6.0</v>
      </c>
      <c r="U10" s="62"/>
      <c r="V10" s="63"/>
      <c r="W10" s="64" t="str">
        <f t="shared" si="6"/>
        <v>DATA UNAVAILABLE</v>
      </c>
      <c r="X10" s="65" t="str">
        <f>IFERROR(__xludf.DUMMYFUNCTION("GOOGLEFINANCE($A10,X$3)"),"#N/A")</f>
        <v>#N/A</v>
      </c>
      <c r="Y10" s="65" t="str">
        <f>IFERROR(__xludf.DUMMYFUNCTION("GOOGLEFINANCE($A10,Y$3)"),"#N/A")</f>
        <v>#N/A</v>
      </c>
      <c r="Z10" s="65" t="str">
        <f>IFERROR(__xludf.DUMMYFUNCTION("GOOGLEFINANCE($A10,Z$3)"),"#N/A")</f>
        <v>#N/A</v>
      </c>
      <c r="AA10" s="65" t="str">
        <f>IFERROR(__xludf.DUMMYFUNCTION("GOOGLEFINANCE($A10,AA$3)"),"#N/A")</f>
        <v>#N/A</v>
      </c>
      <c r="AB10" s="65" t="str">
        <f>IFERROR(__xludf.DUMMYFUNCTION("GOOGLEFINANCE($A10,AB$3)"),"#N/A")</f>
        <v>#N/A</v>
      </c>
      <c r="AC10" s="65" t="str">
        <f>IFERROR(__xludf.DUMMYFUNCTION("GOOGLEFINANCE($A10,AC$3)"),"#N/A")</f>
        <v>#N/A</v>
      </c>
      <c r="AD10" s="65" t="str">
        <f>IFERROR(__xludf.DUMMYFUNCTION("GOOGLEFINANCE($A10,AD$3)"),"#N/A")</f>
        <v>#N/A</v>
      </c>
      <c r="AE10" s="65" t="str">
        <f>IFERROR(__xludf.DUMMYFUNCTION("GOOGLEFINANCE($A10,AE$3)"),"#N/A")</f>
        <v>#N/A</v>
      </c>
      <c r="AF10" s="17"/>
      <c r="AG10" s="17"/>
      <c r="AH10" s="17"/>
      <c r="AI10" s="17"/>
      <c r="AJ10" s="17"/>
      <c r="AK10" s="17"/>
    </row>
    <row r="11">
      <c r="A11" s="47"/>
      <c r="B11" s="48" t="str">
        <f>IFERROR(__xludf.DUMMYFUNCTION("GOOGLEFINANCE(A11,""name"")"),"#N/A")</f>
        <v>#N/A</v>
      </c>
      <c r="C11" s="49"/>
      <c r="D11" s="50" t="str">
        <f>IFERROR(__xludf.DUMMYFUNCTION("GOOGLEFINANCE(A11)"),"#N/A")</f>
        <v>#N/A</v>
      </c>
      <c r="E11" s="51"/>
      <c r="F11" s="52" t="str">
        <f t="shared" si="1"/>
        <v>#N/A</v>
      </c>
      <c r="G11" s="51"/>
      <c r="H11" s="53">
        <f>IFERROR(__xludf.DUMMYFUNCTION("if(isblank(A11)=TRUE,0,if(M11=""GBX"",F11*G11/100,IF(M11=""EUR"",F11*G11/GOOGLEFINANCE(""CURRENCY:GBPEUR""),F11*G11/GOOGLEFINANCE(""CURRENCY:GBPUSD""))))"),0.0)</f>
        <v>0</v>
      </c>
      <c r="I11" s="54">
        <f>IFERROR(__xludf.DUMMYFUNCTION("if(isblank(A11)=TRUE,0,if(M11=""GBX"",D11*G11/100,IF(M11=""EUR"",D11*G11/GOOGLEFINANCE(""CURRENCY:GBPEUR""),D11*G11/GOOGLEFINANCE(""CURRENCY:GBPUSD""))))"),0.0)</f>
        <v>0</v>
      </c>
      <c r="J11" s="55">
        <f t="shared" si="2"/>
        <v>0</v>
      </c>
      <c r="K11" s="55" t="str">
        <f t="shared" si="3"/>
        <v>#DIV/0!</v>
      </c>
      <c r="L11" s="56" t="str">
        <f>IFERROR(__xludf.DUMMYFUNCTION("SPARKLINE(GoogleFinance(A11, ""price"", TODAY()-30, TODAY()),{""color"",""blue"";""linewidth"",2})        "),"#N/A")</f>
        <v>#N/A</v>
      </c>
      <c r="M11" s="17" t="str">
        <f>IFERROR(__xludf.DUMMYFUNCTION("GOOGLEFINANCE(A11,""currency"")"),"#N/A")</f>
        <v>#N/A</v>
      </c>
      <c r="N11" s="57" t="str">
        <f t="shared" si="4"/>
        <v>#N/A</v>
      </c>
      <c r="O11" s="58" t="str">
        <f>IFERROR(__xludf.DUMMYFUNCTION("GOOGLEFINANCE(A11,""Change"")"),"#N/A")</f>
        <v>#N/A</v>
      </c>
      <c r="P11" s="59" t="str">
        <f>IFERROR(__xludf.DUMMYFUNCTION("GOOGLEFINANCE(A11,""High"")"),"#N/A")</f>
        <v>#N/A</v>
      </c>
      <c r="Q11" s="59" t="str">
        <f>IFERROR(__xludf.DUMMYFUNCTION("GOOGLEFINANCE(A11,""low"")"),"#N/A")</f>
        <v>#N/A</v>
      </c>
      <c r="R11" s="57" t="str">
        <f>IFERROR(__xludf.DUMMYFUNCTION("abs(P11-Q11)/GOOGLEFINANCE(A11,""closeyest"")"),"#N/A")</f>
        <v>#N/A</v>
      </c>
      <c r="S11" s="60" t="str">
        <f t="shared" si="5"/>
        <v>#N/A</v>
      </c>
      <c r="T11" s="61">
        <v>36.0</v>
      </c>
      <c r="U11" s="62"/>
      <c r="V11" s="63"/>
      <c r="W11" s="64" t="str">
        <f t="shared" si="6"/>
        <v>DATA UNAVAILABLE</v>
      </c>
      <c r="X11" s="65" t="str">
        <f>IFERROR(__xludf.DUMMYFUNCTION("GOOGLEFINANCE($A11,X$3)"),"#N/A")</f>
        <v>#N/A</v>
      </c>
      <c r="Y11" s="65" t="str">
        <f>IFERROR(__xludf.DUMMYFUNCTION("GOOGLEFINANCE($A11,Y$3)"),"#N/A")</f>
        <v>#N/A</v>
      </c>
      <c r="Z11" s="65" t="str">
        <f>IFERROR(__xludf.DUMMYFUNCTION("GOOGLEFINANCE($A11,Z$3)"),"#N/A")</f>
        <v>#N/A</v>
      </c>
      <c r="AA11" s="65" t="str">
        <f>IFERROR(__xludf.DUMMYFUNCTION("GOOGLEFINANCE($A11,AA$3)"),"#N/A")</f>
        <v>#N/A</v>
      </c>
      <c r="AB11" s="65" t="str">
        <f>IFERROR(__xludf.DUMMYFUNCTION("GOOGLEFINANCE($A11,AB$3)"),"#N/A")</f>
        <v>#N/A</v>
      </c>
      <c r="AC11" s="65" t="str">
        <f>IFERROR(__xludf.DUMMYFUNCTION("GOOGLEFINANCE($A11,AC$3)"),"#N/A")</f>
        <v>#N/A</v>
      </c>
      <c r="AD11" s="65" t="str">
        <f>IFERROR(__xludf.DUMMYFUNCTION("GOOGLEFINANCE($A11,AD$3)"),"#N/A")</f>
        <v>#N/A</v>
      </c>
      <c r="AE11" s="65" t="str">
        <f>IFERROR(__xludf.DUMMYFUNCTION("GOOGLEFINANCE($A11,AE$3)"),"#N/A")</f>
        <v>#N/A</v>
      </c>
      <c r="AF11" s="17"/>
      <c r="AG11" s="17"/>
      <c r="AH11" s="17"/>
      <c r="AI11" s="17"/>
      <c r="AJ11" s="17"/>
      <c r="AK11" s="17"/>
    </row>
    <row r="12">
      <c r="A12" s="47"/>
      <c r="B12" s="48" t="str">
        <f>IFERROR(__xludf.DUMMYFUNCTION("GOOGLEFINANCE(A12,""name"")"),"#N/A")</f>
        <v>#N/A</v>
      </c>
      <c r="C12" s="49"/>
      <c r="D12" s="50" t="str">
        <f>IFERROR(__xludf.DUMMYFUNCTION("GOOGLEFINANCE(A12)"),"#N/A")</f>
        <v>#N/A</v>
      </c>
      <c r="E12" s="51"/>
      <c r="F12" s="52" t="str">
        <f t="shared" si="1"/>
        <v>#N/A</v>
      </c>
      <c r="G12" s="51"/>
      <c r="H12" s="53">
        <f>IFERROR(__xludf.DUMMYFUNCTION("if(isblank(A12)=TRUE,0,if(M12=""GBX"",F12*G12/100,IF(M12=""EUR"",F12*G12/GOOGLEFINANCE(""CURRENCY:GBPEUR""),F12*G12/GOOGLEFINANCE(""CURRENCY:GBPUSD""))))"),0.0)</f>
        <v>0</v>
      </c>
      <c r="I12" s="54">
        <f>IFERROR(__xludf.DUMMYFUNCTION("if(isblank(A12)=TRUE,0,if(M12=""GBX"",D12*G12/100,IF(M12=""EUR"",D12*G12/GOOGLEFINANCE(""CURRENCY:GBPEUR""),D12*G12/GOOGLEFINANCE(""CURRENCY:GBPUSD""))))"),0.0)</f>
        <v>0</v>
      </c>
      <c r="J12" s="55">
        <f t="shared" si="2"/>
        <v>0</v>
      </c>
      <c r="K12" s="55" t="str">
        <f t="shared" si="3"/>
        <v>#DIV/0!</v>
      </c>
      <c r="L12" s="56" t="str">
        <f>IFERROR(__xludf.DUMMYFUNCTION("SPARKLINE(GoogleFinance(A12, ""price"", TODAY()-30, TODAY()),{""color"",""blue"";""linewidth"",2})        "),"#N/A")</f>
        <v>#N/A</v>
      </c>
      <c r="M12" s="17" t="str">
        <f>IFERROR(__xludf.DUMMYFUNCTION("GOOGLEFINANCE(A12,""currency"")"),"#N/A")</f>
        <v>#N/A</v>
      </c>
      <c r="N12" s="57" t="str">
        <f t="shared" si="4"/>
        <v>#N/A</v>
      </c>
      <c r="O12" s="58" t="str">
        <f>IFERROR(__xludf.DUMMYFUNCTION("GOOGLEFINANCE(A12,""Change"")"),"#N/A")</f>
        <v>#N/A</v>
      </c>
      <c r="P12" s="59" t="str">
        <f>IFERROR(__xludf.DUMMYFUNCTION("GOOGLEFINANCE(A12,""High"")"),"#N/A")</f>
        <v>#N/A</v>
      </c>
      <c r="Q12" s="59" t="str">
        <f>IFERROR(__xludf.DUMMYFUNCTION("GOOGLEFINANCE(A12,""low"")"),"#N/A")</f>
        <v>#N/A</v>
      </c>
      <c r="R12" s="57" t="str">
        <f>IFERROR(__xludf.DUMMYFUNCTION("abs(P12-Q12)/GOOGLEFINANCE(A12,""closeyest"")"),"#N/A")</f>
        <v>#N/A</v>
      </c>
      <c r="S12" s="60" t="str">
        <f t="shared" si="5"/>
        <v>#N/A</v>
      </c>
      <c r="T12" s="61">
        <v>31.28</v>
      </c>
      <c r="U12" s="62"/>
      <c r="V12" s="63"/>
      <c r="W12" s="64" t="str">
        <f t="shared" si="6"/>
        <v>DATA UNAVAILABLE</v>
      </c>
      <c r="X12" s="65" t="str">
        <f>IFERROR(__xludf.DUMMYFUNCTION("GOOGLEFINANCE($A12,X$3)"),"#N/A")</f>
        <v>#N/A</v>
      </c>
      <c r="Y12" s="65" t="str">
        <f>IFERROR(__xludf.DUMMYFUNCTION("GOOGLEFINANCE($A12,Y$3)"),"#N/A")</f>
        <v>#N/A</v>
      </c>
      <c r="Z12" s="65" t="str">
        <f>IFERROR(__xludf.DUMMYFUNCTION("GOOGLEFINANCE($A12,Z$3)"),"#N/A")</f>
        <v>#N/A</v>
      </c>
      <c r="AA12" s="65" t="str">
        <f>IFERROR(__xludf.DUMMYFUNCTION("GOOGLEFINANCE($A12,AA$3)"),"#N/A")</f>
        <v>#N/A</v>
      </c>
      <c r="AB12" s="65" t="str">
        <f>IFERROR(__xludf.DUMMYFUNCTION("GOOGLEFINANCE($A12,AB$3)"),"#N/A")</f>
        <v>#N/A</v>
      </c>
      <c r="AC12" s="65" t="str">
        <f>IFERROR(__xludf.DUMMYFUNCTION("GOOGLEFINANCE($A12,AC$3)"),"#N/A")</f>
        <v>#N/A</v>
      </c>
      <c r="AD12" s="65" t="str">
        <f>IFERROR(__xludf.DUMMYFUNCTION("GOOGLEFINANCE($A12,AD$3)"),"#N/A")</f>
        <v>#N/A</v>
      </c>
      <c r="AE12" s="65" t="str">
        <f>IFERROR(__xludf.DUMMYFUNCTION("GOOGLEFINANCE($A12,AE$3)"),"#N/A")</f>
        <v>#N/A</v>
      </c>
      <c r="AF12" s="17"/>
      <c r="AG12" s="17"/>
      <c r="AH12" s="17"/>
      <c r="AI12" s="17"/>
      <c r="AJ12" s="17"/>
      <c r="AK12" s="17"/>
    </row>
    <row r="13">
      <c r="A13" s="47"/>
      <c r="B13" s="48" t="str">
        <f>IFERROR(__xludf.DUMMYFUNCTION("GOOGLEFINANCE(A13,""name"")"),"#N/A")</f>
        <v>#N/A</v>
      </c>
      <c r="C13" s="49"/>
      <c r="D13" s="50" t="str">
        <f>IFERROR(__xludf.DUMMYFUNCTION("GOOGLEFINANCE(A13)"),"#N/A")</f>
        <v>#N/A</v>
      </c>
      <c r="E13" s="51"/>
      <c r="F13" s="52" t="str">
        <f t="shared" si="1"/>
        <v>#N/A</v>
      </c>
      <c r="G13" s="51"/>
      <c r="H13" s="53">
        <f>IFERROR(__xludf.DUMMYFUNCTION("if(isblank(A13)=TRUE,0,if(M13=""GBX"",F13*G13/100,IF(M13=""EUR"",F13*G13/GOOGLEFINANCE(""CURRENCY:GBPEUR""),F13*G13/GOOGLEFINANCE(""CURRENCY:GBPUSD""))))"),0.0)</f>
        <v>0</v>
      </c>
      <c r="I13" s="54">
        <f>IFERROR(__xludf.DUMMYFUNCTION("if(isblank(A13)=TRUE,0,if(M13=""GBX"",D13*G13/100,IF(M13=""EUR"",D13*G13/GOOGLEFINANCE(""CURRENCY:GBPEUR""),D13*G13/GOOGLEFINANCE(""CURRENCY:GBPUSD""))))"),0.0)</f>
        <v>0</v>
      </c>
      <c r="J13" s="55">
        <f t="shared" si="2"/>
        <v>0</v>
      </c>
      <c r="K13" s="55" t="str">
        <f t="shared" si="3"/>
        <v>#DIV/0!</v>
      </c>
      <c r="L13" s="56" t="str">
        <f>IFERROR(__xludf.DUMMYFUNCTION("SPARKLINE(GoogleFinance(A13, ""price"", TODAY()-30, TODAY()),{""color"",""blue"";""linewidth"",2})        "),"#N/A")</f>
        <v>#N/A</v>
      </c>
      <c r="M13" s="17" t="str">
        <f>IFERROR(__xludf.DUMMYFUNCTION("GOOGLEFINANCE(A13,""currency"")"),"#N/A")</f>
        <v>#N/A</v>
      </c>
      <c r="N13" s="57" t="str">
        <f t="shared" si="4"/>
        <v>#N/A</v>
      </c>
      <c r="O13" s="58" t="str">
        <f>IFERROR(__xludf.DUMMYFUNCTION("GOOGLEFINANCE(A13,""Change"")"),"#N/A")</f>
        <v>#N/A</v>
      </c>
      <c r="P13" s="59" t="str">
        <f>IFERROR(__xludf.DUMMYFUNCTION("GOOGLEFINANCE(A13,""High"")"),"#N/A")</f>
        <v>#N/A</v>
      </c>
      <c r="Q13" s="59" t="str">
        <f>IFERROR(__xludf.DUMMYFUNCTION("GOOGLEFINANCE(A13,""low"")"),"#N/A")</f>
        <v>#N/A</v>
      </c>
      <c r="R13" s="57" t="str">
        <f>IFERROR(__xludf.DUMMYFUNCTION("abs(P13-Q13)/GOOGLEFINANCE(A13,""closeyest"")"),"#N/A")</f>
        <v>#N/A</v>
      </c>
      <c r="S13" s="60" t="str">
        <f t="shared" si="5"/>
        <v>#N/A</v>
      </c>
      <c r="T13" s="61">
        <v>1.39</v>
      </c>
      <c r="U13" s="62"/>
      <c r="V13" s="63"/>
      <c r="W13" s="64" t="str">
        <f t="shared" si="6"/>
        <v>DATA UNAVAILABLE</v>
      </c>
      <c r="X13" s="65" t="str">
        <f>IFERROR(__xludf.DUMMYFUNCTION("GOOGLEFINANCE($A13,X$3)"),"#N/A")</f>
        <v>#N/A</v>
      </c>
      <c r="Y13" s="65" t="str">
        <f>IFERROR(__xludf.DUMMYFUNCTION("GOOGLEFINANCE($A13,Y$3)"),"#N/A")</f>
        <v>#N/A</v>
      </c>
      <c r="Z13" s="65" t="str">
        <f>IFERROR(__xludf.DUMMYFUNCTION("GOOGLEFINANCE($A13,Z$3)"),"#N/A")</f>
        <v>#N/A</v>
      </c>
      <c r="AA13" s="65" t="str">
        <f>IFERROR(__xludf.DUMMYFUNCTION("GOOGLEFINANCE($A13,AA$3)"),"#N/A")</f>
        <v>#N/A</v>
      </c>
      <c r="AB13" s="65" t="str">
        <f>IFERROR(__xludf.DUMMYFUNCTION("GOOGLEFINANCE($A13,AB$3)"),"#N/A")</f>
        <v>#N/A</v>
      </c>
      <c r="AC13" s="65" t="str">
        <f>IFERROR(__xludf.DUMMYFUNCTION("GOOGLEFINANCE($A13,AC$3)"),"#N/A")</f>
        <v>#N/A</v>
      </c>
      <c r="AD13" s="65" t="str">
        <f>IFERROR(__xludf.DUMMYFUNCTION("GOOGLEFINANCE($A13,AD$3)"),"#N/A")</f>
        <v>#N/A</v>
      </c>
      <c r="AE13" s="65" t="str">
        <f>IFERROR(__xludf.DUMMYFUNCTION("GOOGLEFINANCE($A13,AE$3)"),"#N/A")</f>
        <v>#N/A</v>
      </c>
      <c r="AF13" s="17"/>
      <c r="AG13" s="17"/>
      <c r="AH13" s="17"/>
      <c r="AI13" s="17"/>
      <c r="AJ13" s="17"/>
      <c r="AK13" s="17"/>
    </row>
    <row r="14">
      <c r="A14" s="47"/>
      <c r="B14" s="48" t="str">
        <f>IFERROR(__xludf.DUMMYFUNCTION("GOOGLEFINANCE(A14,""name"")"),"#N/A")</f>
        <v>#N/A</v>
      </c>
      <c r="C14" s="49"/>
      <c r="D14" s="50" t="str">
        <f>IFERROR(__xludf.DUMMYFUNCTION("GOOGLEFINANCE(A14)"),"#N/A")</f>
        <v>#N/A</v>
      </c>
      <c r="E14" s="51"/>
      <c r="F14" s="52" t="str">
        <f t="shared" si="1"/>
        <v>#N/A</v>
      </c>
      <c r="G14" s="51"/>
      <c r="H14" s="53">
        <f>IFERROR(__xludf.DUMMYFUNCTION("if(isblank(A14)=TRUE,0,if(M14=""GBX"",F14*G14/100,IF(M14=""EUR"",F14*G14/GOOGLEFINANCE(""CURRENCY:GBPEUR""),F14*G14/GOOGLEFINANCE(""CURRENCY:GBPUSD""))))"),0.0)</f>
        <v>0</v>
      </c>
      <c r="I14" s="54">
        <f>IFERROR(__xludf.DUMMYFUNCTION("if(isblank(A14)=TRUE,0,if(M14=""GBX"",D14*G14/100,IF(M14=""EUR"",D14*G14/GOOGLEFINANCE(""CURRENCY:GBPEUR""),D14*G14/GOOGLEFINANCE(""CURRENCY:GBPUSD""))))"),0.0)</f>
        <v>0</v>
      </c>
      <c r="J14" s="55">
        <f t="shared" si="2"/>
        <v>0</v>
      </c>
      <c r="K14" s="55" t="str">
        <f t="shared" si="3"/>
        <v>#DIV/0!</v>
      </c>
      <c r="L14" s="56" t="str">
        <f>IFERROR(__xludf.DUMMYFUNCTION("SPARKLINE(GoogleFinance(A14, ""price"", TODAY()-30, TODAY()),{""color"",""blue"";""linewidth"",2})        "),"#N/A")</f>
        <v>#N/A</v>
      </c>
      <c r="M14" s="17" t="str">
        <f>IFERROR(__xludf.DUMMYFUNCTION("GOOGLEFINANCE(A14,""currency"")"),"#N/A")</f>
        <v>#N/A</v>
      </c>
      <c r="N14" s="57" t="str">
        <f t="shared" si="4"/>
        <v>#N/A</v>
      </c>
      <c r="O14" s="58" t="str">
        <f>IFERROR(__xludf.DUMMYFUNCTION("GOOGLEFINANCE(A14,""Change"")"),"#N/A")</f>
        <v>#N/A</v>
      </c>
      <c r="P14" s="59" t="str">
        <f>IFERROR(__xludf.DUMMYFUNCTION("GOOGLEFINANCE(A14,""High"")"),"#N/A")</f>
        <v>#N/A</v>
      </c>
      <c r="Q14" s="59" t="str">
        <f>IFERROR(__xludf.DUMMYFUNCTION("GOOGLEFINANCE(A14,""low"")"),"#N/A")</f>
        <v>#N/A</v>
      </c>
      <c r="R14" s="57" t="str">
        <f>IFERROR(__xludf.DUMMYFUNCTION("abs(P14-Q14)/GOOGLEFINANCE(A14,""closeyest"")"),"#N/A")</f>
        <v>#N/A</v>
      </c>
      <c r="S14" s="60" t="str">
        <f t="shared" si="5"/>
        <v>#N/A</v>
      </c>
      <c r="T14" s="61">
        <v>380.0</v>
      </c>
      <c r="U14" s="62"/>
      <c r="V14" s="63"/>
      <c r="W14" s="64" t="str">
        <f t="shared" si="6"/>
        <v>DATA UNAVAILABLE</v>
      </c>
      <c r="X14" s="65" t="str">
        <f>IFERROR(__xludf.DUMMYFUNCTION("GOOGLEFINANCE($A14,X$3)"),"#N/A")</f>
        <v>#N/A</v>
      </c>
      <c r="Y14" s="65" t="str">
        <f>IFERROR(__xludf.DUMMYFUNCTION("GOOGLEFINANCE($A14,Y$3)"),"#N/A")</f>
        <v>#N/A</v>
      </c>
      <c r="Z14" s="65" t="str">
        <f>IFERROR(__xludf.DUMMYFUNCTION("GOOGLEFINANCE($A14,Z$3)"),"#N/A")</f>
        <v>#N/A</v>
      </c>
      <c r="AA14" s="65" t="str">
        <f>IFERROR(__xludf.DUMMYFUNCTION("GOOGLEFINANCE($A14,AA$3)"),"#N/A")</f>
        <v>#N/A</v>
      </c>
      <c r="AB14" s="65" t="str">
        <f>IFERROR(__xludf.DUMMYFUNCTION("GOOGLEFINANCE($A14,AB$3)"),"#N/A")</f>
        <v>#N/A</v>
      </c>
      <c r="AC14" s="65" t="str">
        <f>IFERROR(__xludf.DUMMYFUNCTION("GOOGLEFINANCE($A14,AC$3)"),"#N/A")</f>
        <v>#N/A</v>
      </c>
      <c r="AD14" s="65" t="str">
        <f>IFERROR(__xludf.DUMMYFUNCTION("GOOGLEFINANCE($A14,AD$3)"),"#N/A")</f>
        <v>#N/A</v>
      </c>
      <c r="AE14" s="65" t="str">
        <f>IFERROR(__xludf.DUMMYFUNCTION("GOOGLEFINANCE($A14,AE$3)"),"#N/A")</f>
        <v>#N/A</v>
      </c>
      <c r="AF14" s="17"/>
      <c r="AG14" s="17"/>
      <c r="AH14" s="17"/>
      <c r="AI14" s="17"/>
      <c r="AJ14" s="17"/>
      <c r="AK14" s="17"/>
    </row>
    <row r="15">
      <c r="A15" s="47"/>
      <c r="B15" s="48" t="str">
        <f>IFERROR(__xludf.DUMMYFUNCTION("GOOGLEFINANCE(A15,""name"")"),"#N/A")</f>
        <v>#N/A</v>
      </c>
      <c r="C15" s="49"/>
      <c r="D15" s="50" t="str">
        <f>IFERROR(__xludf.DUMMYFUNCTION("GOOGLEFINANCE(A15)"),"#N/A")</f>
        <v>#N/A</v>
      </c>
      <c r="E15" s="51"/>
      <c r="F15" s="52" t="str">
        <f t="shared" si="1"/>
        <v>#N/A</v>
      </c>
      <c r="G15" s="51"/>
      <c r="H15" s="53">
        <f>IFERROR(__xludf.DUMMYFUNCTION("if(isblank(A15)=TRUE,0,if(M15=""GBX"",F15*G15/100,IF(M15=""EUR"",F15*G15/GOOGLEFINANCE(""CURRENCY:GBPEUR""),F15*G15/GOOGLEFINANCE(""CURRENCY:GBPUSD""))))"),0.0)</f>
        <v>0</v>
      </c>
      <c r="I15" s="54">
        <f>IFERROR(__xludf.DUMMYFUNCTION("if(isblank(A15)=TRUE,0,if(M15=""GBX"",D15*G15/100,IF(M15=""EUR"",D15*G15/GOOGLEFINANCE(""CURRENCY:GBPEUR""),D15*G15/GOOGLEFINANCE(""CURRENCY:GBPUSD""))))"),0.0)</f>
        <v>0</v>
      </c>
      <c r="J15" s="55">
        <f t="shared" si="2"/>
        <v>0</v>
      </c>
      <c r="K15" s="55" t="str">
        <f t="shared" si="3"/>
        <v>#DIV/0!</v>
      </c>
      <c r="L15" s="56" t="str">
        <f>IFERROR(__xludf.DUMMYFUNCTION("SPARKLINE(GoogleFinance(A15, ""price"", TODAY()-30, TODAY()),{""color"",""blue"";""linewidth"",2})        "),"#N/A")</f>
        <v>#N/A</v>
      </c>
      <c r="M15" s="17" t="str">
        <f>IFERROR(__xludf.DUMMYFUNCTION("GOOGLEFINANCE(A15,""currency"")"),"#N/A")</f>
        <v>#N/A</v>
      </c>
      <c r="N15" s="57" t="str">
        <f t="shared" si="4"/>
        <v>#N/A</v>
      </c>
      <c r="O15" s="58" t="str">
        <f>IFERROR(__xludf.DUMMYFUNCTION("GOOGLEFINANCE(A15,""Change"")"),"#N/A")</f>
        <v>#N/A</v>
      </c>
      <c r="P15" s="59" t="str">
        <f>IFERROR(__xludf.DUMMYFUNCTION("GOOGLEFINANCE(A15,""High"")"),"#N/A")</f>
        <v>#N/A</v>
      </c>
      <c r="Q15" s="59" t="str">
        <f>IFERROR(__xludf.DUMMYFUNCTION("GOOGLEFINANCE(A15,""low"")"),"#N/A")</f>
        <v>#N/A</v>
      </c>
      <c r="R15" s="57" t="str">
        <f>IFERROR(__xludf.DUMMYFUNCTION("abs(P15-Q15)/GOOGLEFINANCE(A15,""closeyest"")"),"#N/A")</f>
        <v>#N/A</v>
      </c>
      <c r="S15" s="60" t="str">
        <f t="shared" si="5"/>
        <v>#N/A</v>
      </c>
      <c r="T15" s="61"/>
      <c r="U15" s="62"/>
      <c r="V15" s="63"/>
      <c r="W15" s="64" t="str">
        <f t="shared" si="6"/>
        <v>DATA UNAVAILABLE</v>
      </c>
      <c r="X15" s="65" t="str">
        <f>IFERROR(__xludf.DUMMYFUNCTION("GOOGLEFINANCE($A15,X$3)"),"#N/A")</f>
        <v>#N/A</v>
      </c>
      <c r="Y15" s="65" t="str">
        <f>IFERROR(__xludf.DUMMYFUNCTION("GOOGLEFINANCE($A15,Y$3)"),"#N/A")</f>
        <v>#N/A</v>
      </c>
      <c r="Z15" s="65" t="str">
        <f>IFERROR(__xludf.DUMMYFUNCTION("GOOGLEFINANCE($A15,Z$3)"),"#N/A")</f>
        <v>#N/A</v>
      </c>
      <c r="AA15" s="65" t="str">
        <f>IFERROR(__xludf.DUMMYFUNCTION("GOOGLEFINANCE($A15,AA$3)"),"#N/A")</f>
        <v>#N/A</v>
      </c>
      <c r="AB15" s="65" t="str">
        <f>IFERROR(__xludf.DUMMYFUNCTION("GOOGLEFINANCE($A15,AB$3)"),"#N/A")</f>
        <v>#N/A</v>
      </c>
      <c r="AC15" s="65" t="str">
        <f>IFERROR(__xludf.DUMMYFUNCTION("GOOGLEFINANCE($A15,AC$3)"),"#N/A")</f>
        <v>#N/A</v>
      </c>
      <c r="AD15" s="65" t="str">
        <f>IFERROR(__xludf.DUMMYFUNCTION("GOOGLEFINANCE($A15,AD$3)"),"#N/A")</f>
        <v>#N/A</v>
      </c>
      <c r="AE15" s="65" t="str">
        <f>IFERROR(__xludf.DUMMYFUNCTION("GOOGLEFINANCE($A15,AE$3)"),"#N/A")</f>
        <v>#N/A</v>
      </c>
      <c r="AF15" s="17"/>
      <c r="AG15" s="17"/>
      <c r="AH15" s="17"/>
      <c r="AI15" s="17"/>
      <c r="AJ15" s="17"/>
      <c r="AK15" s="17"/>
    </row>
    <row r="16">
      <c r="A16" s="47"/>
      <c r="B16" s="48" t="str">
        <f>IFERROR(__xludf.DUMMYFUNCTION("GOOGLEFINANCE(A16,""name"")"),"#N/A")</f>
        <v>#N/A</v>
      </c>
      <c r="C16" s="49"/>
      <c r="D16" s="50" t="str">
        <f>IFERROR(__xludf.DUMMYFUNCTION("GOOGLEFINANCE(A16)"),"#N/A")</f>
        <v>#N/A</v>
      </c>
      <c r="E16" s="51"/>
      <c r="F16" s="52" t="str">
        <f t="shared" si="1"/>
        <v>#N/A</v>
      </c>
      <c r="G16" s="51"/>
      <c r="H16" s="53">
        <f>IFERROR(__xludf.DUMMYFUNCTION("if(isblank(A16)=TRUE,0,if(M16=""GBX"",F16*G16/100,IF(M16=""EUR"",F16*G16/GOOGLEFINANCE(""CURRENCY:GBPEUR""),F16*G16/GOOGLEFINANCE(""CURRENCY:GBPUSD""))))"),0.0)</f>
        <v>0</v>
      </c>
      <c r="I16" s="54">
        <f>IFERROR(__xludf.DUMMYFUNCTION("if(isblank(A16)=TRUE,0,if(M16=""GBX"",D16*G16/100,IF(M16=""EUR"",D16*G16/GOOGLEFINANCE(""CURRENCY:GBPEUR""),D16*G16/GOOGLEFINANCE(""CURRENCY:GBPUSD""))))"),0.0)</f>
        <v>0</v>
      </c>
      <c r="J16" s="55">
        <f t="shared" si="2"/>
        <v>0</v>
      </c>
      <c r="K16" s="55" t="str">
        <f t="shared" si="3"/>
        <v>#DIV/0!</v>
      </c>
      <c r="L16" s="56" t="str">
        <f>IFERROR(__xludf.DUMMYFUNCTION("SPARKLINE(GoogleFinance(A16, ""price"", TODAY()-30, TODAY()),{""color"",""blue"";""linewidth"",2})        "),"#N/A")</f>
        <v>#N/A</v>
      </c>
      <c r="M16" s="17" t="str">
        <f>IFERROR(__xludf.DUMMYFUNCTION("GOOGLEFINANCE(A16,""currency"")"),"#N/A")</f>
        <v>#N/A</v>
      </c>
      <c r="N16" s="57" t="str">
        <f t="shared" si="4"/>
        <v>#N/A</v>
      </c>
      <c r="O16" s="58" t="str">
        <f>IFERROR(__xludf.DUMMYFUNCTION("GOOGLEFINANCE(A16,""Change"")"),"#N/A")</f>
        <v>#N/A</v>
      </c>
      <c r="P16" s="59" t="str">
        <f>IFERROR(__xludf.DUMMYFUNCTION("GOOGLEFINANCE(A16,""High"")"),"#N/A")</f>
        <v>#N/A</v>
      </c>
      <c r="Q16" s="59" t="str">
        <f>IFERROR(__xludf.DUMMYFUNCTION("GOOGLEFINANCE(A16,""low"")"),"#N/A")</f>
        <v>#N/A</v>
      </c>
      <c r="R16" s="57" t="str">
        <f>IFERROR(__xludf.DUMMYFUNCTION("abs(P16-Q16)/GOOGLEFINANCE(A16,""closeyest"")"),"#N/A")</f>
        <v>#N/A</v>
      </c>
      <c r="S16" s="60" t="str">
        <f t="shared" si="5"/>
        <v>#N/A</v>
      </c>
      <c r="T16" s="62"/>
      <c r="U16" s="62"/>
      <c r="V16" s="63"/>
      <c r="W16" s="64" t="str">
        <f t="shared" si="6"/>
        <v>DATA UNAVAILABLE</v>
      </c>
      <c r="X16" s="65" t="str">
        <f>IFERROR(__xludf.DUMMYFUNCTION("GOOGLEFINANCE($A16,X$3)"),"#N/A")</f>
        <v>#N/A</v>
      </c>
      <c r="Y16" s="65" t="str">
        <f>IFERROR(__xludf.DUMMYFUNCTION("GOOGLEFINANCE($A16,Y$3)"),"#N/A")</f>
        <v>#N/A</v>
      </c>
      <c r="Z16" s="65" t="str">
        <f>IFERROR(__xludf.DUMMYFUNCTION("GOOGLEFINANCE($A16,Z$3)"),"#N/A")</f>
        <v>#N/A</v>
      </c>
      <c r="AA16" s="65" t="str">
        <f>IFERROR(__xludf.DUMMYFUNCTION("GOOGLEFINANCE($A16,AA$3)"),"#N/A")</f>
        <v>#N/A</v>
      </c>
      <c r="AB16" s="65" t="str">
        <f>IFERROR(__xludf.DUMMYFUNCTION("GOOGLEFINANCE($A16,AB$3)"),"#N/A")</f>
        <v>#N/A</v>
      </c>
      <c r="AC16" s="65" t="str">
        <f>IFERROR(__xludf.DUMMYFUNCTION("GOOGLEFINANCE($A16,AC$3)"),"#N/A")</f>
        <v>#N/A</v>
      </c>
      <c r="AD16" s="65" t="str">
        <f>IFERROR(__xludf.DUMMYFUNCTION("GOOGLEFINANCE($A16,AD$3)"),"#N/A")</f>
        <v>#N/A</v>
      </c>
      <c r="AE16" s="65" t="str">
        <f>IFERROR(__xludf.DUMMYFUNCTION("GOOGLEFINANCE($A16,AE$3)"),"#N/A")</f>
        <v>#N/A</v>
      </c>
      <c r="AF16" s="17"/>
      <c r="AG16" s="17"/>
      <c r="AH16" s="17"/>
      <c r="AI16" s="17"/>
      <c r="AJ16" s="17"/>
      <c r="AK16" s="17"/>
    </row>
    <row r="17">
      <c r="A17" s="66"/>
      <c r="B17" s="48" t="str">
        <f>IFERROR(__xludf.DUMMYFUNCTION("GOOGLEFINANCE(A17,""name"")"),"#N/A")</f>
        <v>#N/A</v>
      </c>
      <c r="C17" s="49"/>
      <c r="D17" s="50" t="str">
        <f>IFERROR(__xludf.DUMMYFUNCTION("GOOGLEFINANCE(A17)"),"#N/A")</f>
        <v>#N/A</v>
      </c>
      <c r="E17" s="51"/>
      <c r="F17" s="52" t="str">
        <f t="shared" si="1"/>
        <v>#N/A</v>
      </c>
      <c r="G17" s="51"/>
      <c r="H17" s="53">
        <f>IFERROR(__xludf.DUMMYFUNCTION("if(isblank(A17)=TRUE,0,if(M17=""GBX"",F17*G17/100,IF(M17=""EUR"",F17*G17/GOOGLEFINANCE(""CURRENCY:GBPEUR""),F17*G17/GOOGLEFINANCE(""CURRENCY:GBPUSD""))))"),0.0)</f>
        <v>0</v>
      </c>
      <c r="I17" s="54">
        <f>IFERROR(__xludf.DUMMYFUNCTION("if(isblank(A17)=TRUE,0,if(M17=""GBX"",D17*G17/100,IF(M17=""EUR"",D17*G17/GOOGLEFINANCE(""CURRENCY:GBPEUR""),D17*G17/GOOGLEFINANCE(""CURRENCY:GBPUSD""))))"),0.0)</f>
        <v>0</v>
      </c>
      <c r="J17" s="55">
        <f t="shared" si="2"/>
        <v>0</v>
      </c>
      <c r="K17" s="55" t="str">
        <f t="shared" si="3"/>
        <v>#DIV/0!</v>
      </c>
      <c r="L17" s="56" t="str">
        <f>IFERROR(__xludf.DUMMYFUNCTION("SPARKLINE(GoogleFinance(A17, ""price"", TODAY()-30, TODAY()),{""color"",""blue"";""linewidth"",2})        "),"#N/A")</f>
        <v>#N/A</v>
      </c>
      <c r="M17" s="17" t="str">
        <f>IFERROR(__xludf.DUMMYFUNCTION("GOOGLEFINANCE(A17,""currency"")"),"#N/A")</f>
        <v>#N/A</v>
      </c>
      <c r="N17" s="57" t="str">
        <f t="shared" si="4"/>
        <v>#N/A</v>
      </c>
      <c r="O17" s="58" t="str">
        <f>IFERROR(__xludf.DUMMYFUNCTION("GOOGLEFINANCE(A17,""Change"")"),"#N/A")</f>
        <v>#N/A</v>
      </c>
      <c r="P17" s="59" t="str">
        <f>IFERROR(__xludf.DUMMYFUNCTION("GOOGLEFINANCE(A17,""High"")"),"#N/A")</f>
        <v>#N/A</v>
      </c>
      <c r="Q17" s="59" t="str">
        <f>IFERROR(__xludf.DUMMYFUNCTION("GOOGLEFINANCE(A17,""low"")"),"#N/A")</f>
        <v>#N/A</v>
      </c>
      <c r="R17" s="57" t="str">
        <f>IFERROR(__xludf.DUMMYFUNCTION("abs(P17-Q17)/GOOGLEFINANCE(A17,""closeyest"")"),"#N/A")</f>
        <v>#N/A</v>
      </c>
      <c r="S17" s="60" t="str">
        <f t="shared" si="5"/>
        <v>#N/A</v>
      </c>
      <c r="T17" s="62"/>
      <c r="U17" s="62"/>
      <c r="V17" s="63"/>
      <c r="W17" s="64" t="str">
        <f t="shared" si="6"/>
        <v>DATA UNAVAILABLE</v>
      </c>
      <c r="X17" s="65" t="str">
        <f>IFERROR(__xludf.DUMMYFUNCTION("GOOGLEFINANCE($A17,X$3)"),"#N/A")</f>
        <v>#N/A</v>
      </c>
      <c r="Y17" s="65" t="str">
        <f>IFERROR(__xludf.DUMMYFUNCTION("GOOGLEFINANCE($A17,Y$3)"),"#N/A")</f>
        <v>#N/A</v>
      </c>
      <c r="Z17" s="65" t="str">
        <f>IFERROR(__xludf.DUMMYFUNCTION("GOOGLEFINANCE($A17,Z$3)"),"#N/A")</f>
        <v>#N/A</v>
      </c>
      <c r="AA17" s="65" t="str">
        <f>IFERROR(__xludf.DUMMYFUNCTION("GOOGLEFINANCE($A17,AA$3)"),"#N/A")</f>
        <v>#N/A</v>
      </c>
      <c r="AB17" s="65" t="str">
        <f>IFERROR(__xludf.DUMMYFUNCTION("GOOGLEFINANCE($A17,AB$3)"),"#N/A")</f>
        <v>#N/A</v>
      </c>
      <c r="AC17" s="65" t="str">
        <f>IFERROR(__xludf.DUMMYFUNCTION("GOOGLEFINANCE($A17,AC$3)"),"#N/A")</f>
        <v>#N/A</v>
      </c>
      <c r="AD17" s="65" t="str">
        <f>IFERROR(__xludf.DUMMYFUNCTION("GOOGLEFINANCE($A17,AD$3)"),"#N/A")</f>
        <v>#N/A</v>
      </c>
      <c r="AE17" s="65" t="str">
        <f>IFERROR(__xludf.DUMMYFUNCTION("GOOGLEFINANCE($A17,AE$3)"),"#N/A")</f>
        <v>#N/A</v>
      </c>
      <c r="AF17" s="17"/>
      <c r="AG17" s="17"/>
      <c r="AH17" s="17"/>
      <c r="AI17" s="17"/>
      <c r="AJ17" s="17"/>
      <c r="AK17" s="17"/>
    </row>
    <row r="18">
      <c r="A18" s="66"/>
      <c r="B18" s="48" t="str">
        <f>IFERROR(__xludf.DUMMYFUNCTION("GOOGLEFINANCE(A18,""name"")"),"#N/A")</f>
        <v>#N/A</v>
      </c>
      <c r="C18" s="49"/>
      <c r="D18" s="50" t="str">
        <f>IFERROR(__xludf.DUMMYFUNCTION("GOOGLEFINANCE(A18)"),"#N/A")</f>
        <v>#N/A</v>
      </c>
      <c r="E18" s="51"/>
      <c r="F18" s="52" t="str">
        <f t="shared" si="1"/>
        <v>#N/A</v>
      </c>
      <c r="G18" s="51"/>
      <c r="H18" s="53">
        <f>IFERROR(__xludf.DUMMYFUNCTION("if(isblank(A18)=TRUE,0,if(M18=""GBX"",F18*G18/100,IF(M18=""EUR"",F18*G18/GOOGLEFINANCE(""CURRENCY:GBPEUR""),F18*G18/GOOGLEFINANCE(""CURRENCY:GBPUSD""))))"),0.0)</f>
        <v>0</v>
      </c>
      <c r="I18" s="54">
        <f>IFERROR(__xludf.DUMMYFUNCTION("if(isblank(A18)=TRUE,0,if(M18=""GBX"",D18*G18/100,IF(M18=""EUR"",D18*G18/GOOGLEFINANCE(""CURRENCY:GBPEUR""),D18*G18/GOOGLEFINANCE(""CURRENCY:GBPUSD""))))"),0.0)</f>
        <v>0</v>
      </c>
      <c r="J18" s="55">
        <f t="shared" si="2"/>
        <v>0</v>
      </c>
      <c r="K18" s="55" t="str">
        <f t="shared" si="3"/>
        <v>#DIV/0!</v>
      </c>
      <c r="L18" s="56" t="str">
        <f>IFERROR(__xludf.DUMMYFUNCTION("SPARKLINE(GoogleFinance(A18, ""price"", TODAY()-30, TODAY()),{""color"",""blue"";""linewidth"",2})        "),"#N/A")</f>
        <v>#N/A</v>
      </c>
      <c r="M18" s="17" t="str">
        <f>IFERROR(__xludf.DUMMYFUNCTION("GOOGLEFINANCE(A18,""currency"")"),"#N/A")</f>
        <v>#N/A</v>
      </c>
      <c r="N18" s="57" t="str">
        <f t="shared" si="4"/>
        <v>#N/A</v>
      </c>
      <c r="O18" s="58" t="str">
        <f>IFERROR(__xludf.DUMMYFUNCTION("GOOGLEFINANCE(A18,""Change"")"),"#N/A")</f>
        <v>#N/A</v>
      </c>
      <c r="P18" s="59" t="str">
        <f>IFERROR(__xludf.DUMMYFUNCTION("GOOGLEFINANCE(A18,""High"")"),"#N/A")</f>
        <v>#N/A</v>
      </c>
      <c r="Q18" s="59" t="str">
        <f>IFERROR(__xludf.DUMMYFUNCTION("GOOGLEFINANCE(A18,""low"")"),"#N/A")</f>
        <v>#N/A</v>
      </c>
      <c r="R18" s="57" t="str">
        <f>IFERROR(__xludf.DUMMYFUNCTION("abs(P18-Q18)/GOOGLEFINANCE(A18,""closeyest"")"),"#N/A")</f>
        <v>#N/A</v>
      </c>
      <c r="S18" s="60" t="str">
        <f t="shared" si="5"/>
        <v>#N/A</v>
      </c>
      <c r="T18" s="62"/>
      <c r="U18" s="62"/>
      <c r="V18" s="63"/>
      <c r="W18" s="64" t="str">
        <f t="shared" si="6"/>
        <v>DATA UNAVAILABLE</v>
      </c>
      <c r="X18" s="65" t="str">
        <f>IFERROR(__xludf.DUMMYFUNCTION("GOOGLEFINANCE($A18,X$3)"),"#N/A")</f>
        <v>#N/A</v>
      </c>
      <c r="Y18" s="65" t="str">
        <f>IFERROR(__xludf.DUMMYFUNCTION("GOOGLEFINANCE($A18,Y$3)"),"#N/A")</f>
        <v>#N/A</v>
      </c>
      <c r="Z18" s="65" t="str">
        <f>IFERROR(__xludf.DUMMYFUNCTION("GOOGLEFINANCE($A18,Z$3)"),"#N/A")</f>
        <v>#N/A</v>
      </c>
      <c r="AA18" s="65" t="str">
        <f>IFERROR(__xludf.DUMMYFUNCTION("GOOGLEFINANCE($A18,AA$3)"),"#N/A")</f>
        <v>#N/A</v>
      </c>
      <c r="AB18" s="65" t="str">
        <f>IFERROR(__xludf.DUMMYFUNCTION("GOOGLEFINANCE($A18,AB$3)"),"#N/A")</f>
        <v>#N/A</v>
      </c>
      <c r="AC18" s="65" t="str">
        <f>IFERROR(__xludf.DUMMYFUNCTION("GOOGLEFINANCE($A18,AC$3)"),"#N/A")</f>
        <v>#N/A</v>
      </c>
      <c r="AD18" s="65" t="str">
        <f>IFERROR(__xludf.DUMMYFUNCTION("GOOGLEFINANCE($A18,AD$3)"),"#N/A")</f>
        <v>#N/A</v>
      </c>
      <c r="AE18" s="65" t="str">
        <f>IFERROR(__xludf.DUMMYFUNCTION("GOOGLEFINANCE($A18,AE$3)"),"#N/A")</f>
        <v>#N/A</v>
      </c>
      <c r="AF18" s="17"/>
      <c r="AG18" s="17"/>
      <c r="AH18" s="17"/>
      <c r="AI18" s="17"/>
      <c r="AJ18" s="17"/>
      <c r="AK18" s="17"/>
    </row>
    <row r="19">
      <c r="A19" s="66"/>
      <c r="B19" s="48" t="str">
        <f>IFERROR(__xludf.DUMMYFUNCTION("GOOGLEFINANCE(A19,""name"")"),"#N/A")</f>
        <v>#N/A</v>
      </c>
      <c r="C19" s="49"/>
      <c r="D19" s="50" t="str">
        <f>IFERROR(__xludf.DUMMYFUNCTION("GOOGLEFINANCE(A19)"),"#N/A")</f>
        <v>#N/A</v>
      </c>
      <c r="E19" s="51"/>
      <c r="F19" s="52" t="str">
        <f t="shared" si="1"/>
        <v>#N/A</v>
      </c>
      <c r="G19" s="51"/>
      <c r="H19" s="53">
        <f>IFERROR(__xludf.DUMMYFUNCTION("if(isblank(A19)=TRUE,0,if(M19=""GBX"",F19*G19/100,IF(M19=""EUR"",F19*G19/GOOGLEFINANCE(""CURRENCY:GBPEUR""),F19*G19/GOOGLEFINANCE(""CURRENCY:GBPUSD""))))"),0.0)</f>
        <v>0</v>
      </c>
      <c r="I19" s="54">
        <f>IFERROR(__xludf.DUMMYFUNCTION("if(isblank(A19)=TRUE,0,if(M19=""GBX"",D19*G19/100,IF(M19=""EUR"",D19*G19/GOOGLEFINANCE(""CURRENCY:GBPEUR""),D19*G19/GOOGLEFINANCE(""CURRENCY:GBPUSD""))))"),0.0)</f>
        <v>0</v>
      </c>
      <c r="J19" s="55">
        <f t="shared" si="2"/>
        <v>0</v>
      </c>
      <c r="K19" s="55" t="str">
        <f t="shared" si="3"/>
        <v>#DIV/0!</v>
      </c>
      <c r="L19" s="56" t="str">
        <f>IFERROR(__xludf.DUMMYFUNCTION("SPARKLINE(GoogleFinance(A19, ""price"", TODAY()-30, TODAY()),{""color"",""blue"";""linewidth"",2})        "),"#N/A")</f>
        <v>#N/A</v>
      </c>
      <c r="M19" s="17" t="str">
        <f>IFERROR(__xludf.DUMMYFUNCTION("GOOGLEFINANCE(A19,""currency"")"),"#N/A")</f>
        <v>#N/A</v>
      </c>
      <c r="N19" s="57" t="str">
        <f t="shared" si="4"/>
        <v>#N/A</v>
      </c>
      <c r="O19" s="58" t="str">
        <f>IFERROR(__xludf.DUMMYFUNCTION("GOOGLEFINANCE(A19,""Change"")"),"#N/A")</f>
        <v>#N/A</v>
      </c>
      <c r="P19" s="59" t="str">
        <f>IFERROR(__xludf.DUMMYFUNCTION("GOOGLEFINANCE(A19,""High"")"),"#N/A")</f>
        <v>#N/A</v>
      </c>
      <c r="Q19" s="59" t="str">
        <f>IFERROR(__xludf.DUMMYFUNCTION("GOOGLEFINANCE(A19,""low"")"),"#N/A")</f>
        <v>#N/A</v>
      </c>
      <c r="R19" s="57" t="str">
        <f>IFERROR(__xludf.DUMMYFUNCTION("abs(P19-Q19)/GOOGLEFINANCE(A19,""closeyest"")"),"#N/A")</f>
        <v>#N/A</v>
      </c>
      <c r="S19" s="60" t="str">
        <f t="shared" si="5"/>
        <v>#N/A</v>
      </c>
      <c r="T19" s="62"/>
      <c r="U19" s="62"/>
      <c r="V19" s="63"/>
      <c r="W19" s="64" t="str">
        <f t="shared" si="6"/>
        <v>DATA UNAVAILABLE</v>
      </c>
      <c r="X19" s="65" t="str">
        <f>IFERROR(__xludf.DUMMYFUNCTION("GOOGLEFINANCE($A19,X$3)"),"#N/A")</f>
        <v>#N/A</v>
      </c>
      <c r="Y19" s="65" t="str">
        <f>IFERROR(__xludf.DUMMYFUNCTION("GOOGLEFINANCE($A19,Y$3)"),"#N/A")</f>
        <v>#N/A</v>
      </c>
      <c r="Z19" s="65" t="str">
        <f>IFERROR(__xludf.DUMMYFUNCTION("GOOGLEFINANCE($A19,Z$3)"),"#N/A")</f>
        <v>#N/A</v>
      </c>
      <c r="AA19" s="65" t="str">
        <f>IFERROR(__xludf.DUMMYFUNCTION("GOOGLEFINANCE($A19,AA$3)"),"#N/A")</f>
        <v>#N/A</v>
      </c>
      <c r="AB19" s="65" t="str">
        <f>IFERROR(__xludf.DUMMYFUNCTION("GOOGLEFINANCE($A19,AB$3)"),"#N/A")</f>
        <v>#N/A</v>
      </c>
      <c r="AC19" s="65" t="str">
        <f>IFERROR(__xludf.DUMMYFUNCTION("GOOGLEFINANCE($A19,AC$3)"),"#N/A")</f>
        <v>#N/A</v>
      </c>
      <c r="AD19" s="65" t="str">
        <f>IFERROR(__xludf.DUMMYFUNCTION("GOOGLEFINANCE($A19,AD$3)"),"#N/A")</f>
        <v>#N/A</v>
      </c>
      <c r="AE19" s="65" t="str">
        <f>IFERROR(__xludf.DUMMYFUNCTION("GOOGLEFINANCE($A19,AE$3)"),"#N/A")</f>
        <v>#N/A</v>
      </c>
      <c r="AF19" s="17"/>
      <c r="AG19" s="17"/>
      <c r="AH19" s="17"/>
      <c r="AI19" s="17"/>
      <c r="AJ19" s="17"/>
      <c r="AK19" s="17"/>
    </row>
    <row r="20">
      <c r="A20" s="47"/>
      <c r="B20" s="48" t="str">
        <f>IFERROR(__xludf.DUMMYFUNCTION("GOOGLEFINANCE(A20,""name"")"),"#N/A")</f>
        <v>#N/A</v>
      </c>
      <c r="C20" s="49"/>
      <c r="D20" s="50" t="str">
        <f>IFERROR(__xludf.DUMMYFUNCTION("GOOGLEFINANCE(A20)"),"#N/A")</f>
        <v>#N/A</v>
      </c>
      <c r="E20" s="51"/>
      <c r="F20" s="52" t="str">
        <f t="shared" si="1"/>
        <v>#N/A</v>
      </c>
      <c r="G20" s="51"/>
      <c r="H20" s="53">
        <f>IFERROR(__xludf.DUMMYFUNCTION("if(isblank(A20)=TRUE,0,if(M20=""GBX"",F20*G20/100,IF(M20=""EUR"",F20*G20/GOOGLEFINANCE(""CURRENCY:GBPEUR""),F20*G20/GOOGLEFINANCE(""CURRENCY:GBPUSD""))))"),0.0)</f>
        <v>0</v>
      </c>
      <c r="I20" s="54">
        <f>IFERROR(__xludf.DUMMYFUNCTION("if(isblank(A20)=TRUE,0,if(M20=""GBX"",D20*G20/100,IF(M20=""EUR"",D20*G20/GOOGLEFINANCE(""CURRENCY:GBPEUR""),D20*G20/GOOGLEFINANCE(""CURRENCY:GBPUSD""))))"),0.0)</f>
        <v>0</v>
      </c>
      <c r="J20" s="55">
        <f t="shared" si="2"/>
        <v>0</v>
      </c>
      <c r="K20" s="55" t="str">
        <f t="shared" si="3"/>
        <v>#DIV/0!</v>
      </c>
      <c r="L20" s="56" t="str">
        <f>IFERROR(__xludf.DUMMYFUNCTION("SPARKLINE(GoogleFinance(A20, ""price"", TODAY()-30, TODAY()),{""color"",""blue"";""linewidth"",2})        "),"#N/A")</f>
        <v>#N/A</v>
      </c>
      <c r="M20" s="17" t="str">
        <f>IFERROR(__xludf.DUMMYFUNCTION("GOOGLEFINANCE(A20,""currency"")"),"#N/A")</f>
        <v>#N/A</v>
      </c>
      <c r="N20" s="57" t="str">
        <f t="shared" si="4"/>
        <v>#N/A</v>
      </c>
      <c r="O20" s="58" t="str">
        <f>IFERROR(__xludf.DUMMYFUNCTION("GOOGLEFINANCE(A20,""Change"")"),"#N/A")</f>
        <v>#N/A</v>
      </c>
      <c r="P20" s="59" t="str">
        <f>IFERROR(__xludf.DUMMYFUNCTION("GOOGLEFINANCE(A20,""High"")"),"#N/A")</f>
        <v>#N/A</v>
      </c>
      <c r="Q20" s="59" t="str">
        <f>IFERROR(__xludf.DUMMYFUNCTION("GOOGLEFINANCE(A20,""low"")"),"#N/A")</f>
        <v>#N/A</v>
      </c>
      <c r="R20" s="57" t="str">
        <f>IFERROR(__xludf.DUMMYFUNCTION("abs(P20-Q20)/GOOGLEFINANCE(A20,""closeyest"")"),"#N/A")</f>
        <v>#N/A</v>
      </c>
      <c r="S20" s="60" t="str">
        <f t="shared" si="5"/>
        <v>#N/A</v>
      </c>
      <c r="T20" s="62"/>
      <c r="U20" s="62"/>
      <c r="V20" s="63"/>
      <c r="W20" s="64" t="str">
        <f t="shared" si="6"/>
        <v>DATA UNAVAILABLE</v>
      </c>
      <c r="X20" s="65" t="str">
        <f>IFERROR(__xludf.DUMMYFUNCTION("GOOGLEFINANCE($A20,X$3)"),"#N/A")</f>
        <v>#N/A</v>
      </c>
      <c r="Y20" s="65" t="str">
        <f>IFERROR(__xludf.DUMMYFUNCTION("GOOGLEFINANCE($A20,Y$3)"),"#N/A")</f>
        <v>#N/A</v>
      </c>
      <c r="Z20" s="65" t="str">
        <f>IFERROR(__xludf.DUMMYFUNCTION("GOOGLEFINANCE($A20,Z$3)"),"#N/A")</f>
        <v>#N/A</v>
      </c>
      <c r="AA20" s="65" t="str">
        <f>IFERROR(__xludf.DUMMYFUNCTION("GOOGLEFINANCE($A20,AA$3)"),"#N/A")</f>
        <v>#N/A</v>
      </c>
      <c r="AB20" s="65" t="str">
        <f>IFERROR(__xludf.DUMMYFUNCTION("GOOGLEFINANCE($A20,AB$3)"),"#N/A")</f>
        <v>#N/A</v>
      </c>
      <c r="AC20" s="65" t="str">
        <f>IFERROR(__xludf.DUMMYFUNCTION("GOOGLEFINANCE($A20,AC$3)"),"#N/A")</f>
        <v>#N/A</v>
      </c>
      <c r="AD20" s="65" t="str">
        <f>IFERROR(__xludf.DUMMYFUNCTION("GOOGLEFINANCE($A20,AD$3)"),"#N/A")</f>
        <v>#N/A</v>
      </c>
      <c r="AE20" s="65" t="str">
        <f>IFERROR(__xludf.DUMMYFUNCTION("GOOGLEFINANCE($A20,AE$3)"),"#N/A")</f>
        <v>#N/A</v>
      </c>
      <c r="AF20" s="17"/>
      <c r="AG20" s="17"/>
      <c r="AH20" s="17"/>
      <c r="AI20" s="17"/>
      <c r="AJ20" s="17"/>
      <c r="AK20" s="17"/>
    </row>
    <row r="21">
      <c r="A21" s="47"/>
      <c r="B21" s="48" t="str">
        <f>IFERROR(__xludf.DUMMYFUNCTION("GOOGLEFINANCE(A21,""name"")"),"#N/A")</f>
        <v>#N/A</v>
      </c>
      <c r="C21" s="49"/>
      <c r="D21" s="50" t="str">
        <f>IFERROR(__xludf.DUMMYFUNCTION("GOOGLEFINANCE(A21)"),"#N/A")</f>
        <v>#N/A</v>
      </c>
      <c r="E21" s="51"/>
      <c r="F21" s="52" t="str">
        <f t="shared" si="1"/>
        <v>#N/A</v>
      </c>
      <c r="G21" s="51"/>
      <c r="H21" s="53">
        <f>IFERROR(__xludf.DUMMYFUNCTION("if(isblank(A21)=TRUE,0,if(M21=""GBX"",F21*G21/100,IF(M21=""EUR"",F21*G21/GOOGLEFINANCE(""CURRENCY:GBPEUR""),F21*G21/GOOGLEFINANCE(""CURRENCY:GBPUSD""))))"),0.0)</f>
        <v>0</v>
      </c>
      <c r="I21" s="54">
        <f>IFERROR(__xludf.DUMMYFUNCTION("if(isblank(A21)=TRUE,0,if(M21=""GBX"",D21*G21/100,IF(M21=""EUR"",D21*G21/GOOGLEFINANCE(""CURRENCY:GBPEUR""),D21*G21/GOOGLEFINANCE(""CURRENCY:GBPUSD""))))"),0.0)</f>
        <v>0</v>
      </c>
      <c r="J21" s="55">
        <f t="shared" si="2"/>
        <v>0</v>
      </c>
      <c r="K21" s="55" t="str">
        <f t="shared" si="3"/>
        <v>#DIV/0!</v>
      </c>
      <c r="L21" s="56" t="str">
        <f>IFERROR(__xludf.DUMMYFUNCTION("SPARKLINE(GoogleFinance(A21, ""price"", TODAY()-30, TODAY()),{""color"",""blue"";""linewidth"",2})        "),"#N/A")</f>
        <v>#N/A</v>
      </c>
      <c r="M21" s="17" t="str">
        <f>IFERROR(__xludf.DUMMYFUNCTION("GOOGLEFINANCE(A21,""currency"")"),"#N/A")</f>
        <v>#N/A</v>
      </c>
      <c r="N21" s="57" t="str">
        <f t="shared" si="4"/>
        <v>#N/A</v>
      </c>
      <c r="O21" s="58" t="str">
        <f>IFERROR(__xludf.DUMMYFUNCTION("GOOGLEFINANCE(A21,""Change"")"),"#N/A")</f>
        <v>#N/A</v>
      </c>
      <c r="P21" s="59" t="str">
        <f>IFERROR(__xludf.DUMMYFUNCTION("GOOGLEFINANCE(A21,""High"")"),"#N/A")</f>
        <v>#N/A</v>
      </c>
      <c r="Q21" s="59" t="str">
        <f>IFERROR(__xludf.DUMMYFUNCTION("GOOGLEFINANCE(A21,""low"")"),"#N/A")</f>
        <v>#N/A</v>
      </c>
      <c r="R21" s="57" t="str">
        <f>IFERROR(__xludf.DUMMYFUNCTION("abs(P21-Q21)/GOOGLEFINANCE(A21,""closeyest"")"),"#N/A")</f>
        <v>#N/A</v>
      </c>
      <c r="S21" s="60" t="str">
        <f t="shared" si="5"/>
        <v>#N/A</v>
      </c>
      <c r="T21" s="62"/>
      <c r="U21" s="62"/>
      <c r="V21" s="63"/>
      <c r="W21" s="64" t="str">
        <f t="shared" si="6"/>
        <v>DATA UNAVAILABLE</v>
      </c>
      <c r="X21" s="65" t="str">
        <f>IFERROR(__xludf.DUMMYFUNCTION("GOOGLEFINANCE($A21,X$3)"),"#N/A")</f>
        <v>#N/A</v>
      </c>
      <c r="Y21" s="65" t="str">
        <f>IFERROR(__xludf.DUMMYFUNCTION("GOOGLEFINANCE($A21,Y$3)"),"#N/A")</f>
        <v>#N/A</v>
      </c>
      <c r="Z21" s="65" t="str">
        <f>IFERROR(__xludf.DUMMYFUNCTION("GOOGLEFINANCE($A21,Z$3)"),"#N/A")</f>
        <v>#N/A</v>
      </c>
      <c r="AA21" s="65" t="str">
        <f>IFERROR(__xludf.DUMMYFUNCTION("GOOGLEFINANCE($A21,AA$3)"),"#N/A")</f>
        <v>#N/A</v>
      </c>
      <c r="AB21" s="65" t="str">
        <f>IFERROR(__xludf.DUMMYFUNCTION("GOOGLEFINANCE($A21,AB$3)"),"#N/A")</f>
        <v>#N/A</v>
      </c>
      <c r="AC21" s="65" t="str">
        <f>IFERROR(__xludf.DUMMYFUNCTION("GOOGLEFINANCE($A21,AC$3)"),"#N/A")</f>
        <v>#N/A</v>
      </c>
      <c r="AD21" s="65" t="str">
        <f>IFERROR(__xludf.DUMMYFUNCTION("GOOGLEFINANCE($A21,AD$3)"),"#N/A")</f>
        <v>#N/A</v>
      </c>
      <c r="AE21" s="65" t="str">
        <f>IFERROR(__xludf.DUMMYFUNCTION("GOOGLEFINANCE($A21,AE$3)"),"#N/A")</f>
        <v>#N/A</v>
      </c>
      <c r="AF21" s="17"/>
      <c r="AG21" s="17"/>
      <c r="AH21" s="17"/>
      <c r="AI21" s="17"/>
      <c r="AJ21" s="17"/>
      <c r="AK21" s="17"/>
    </row>
    <row r="22" ht="15.75" customHeight="1">
      <c r="A22" s="47"/>
      <c r="B22" s="48" t="str">
        <f>IFERROR(__xludf.DUMMYFUNCTION("GOOGLEFINANCE(A22,""name"")"),"#N/A")</f>
        <v>#N/A</v>
      </c>
      <c r="C22" s="49"/>
      <c r="D22" s="50" t="str">
        <f>IFERROR(__xludf.DUMMYFUNCTION("GOOGLEFINANCE(A22)"),"#N/A")</f>
        <v>#N/A</v>
      </c>
      <c r="E22" s="51"/>
      <c r="F22" s="52" t="str">
        <f t="shared" si="1"/>
        <v>#N/A</v>
      </c>
      <c r="G22" s="51"/>
      <c r="H22" s="53">
        <f>IFERROR(__xludf.DUMMYFUNCTION("if(isblank(A22)=TRUE,0,if(M22=""GBX"",F22*G22/100,IF(M22=""EUR"",F22*G22/GOOGLEFINANCE(""CURRENCY:GBPEUR""),F22*G22/GOOGLEFINANCE(""CURRENCY:GBPUSD""))))"),0.0)</f>
        <v>0</v>
      </c>
      <c r="I22" s="54">
        <f>IFERROR(__xludf.DUMMYFUNCTION("if(isblank(A22)=TRUE,0,if(M22=""GBX"",D22*G22/100,IF(M22=""EUR"",D22*G22/GOOGLEFINANCE(""CURRENCY:GBPEUR""),D22*G22/GOOGLEFINANCE(""CURRENCY:GBPUSD""))))"),0.0)</f>
        <v>0</v>
      </c>
      <c r="J22" s="55">
        <f t="shared" si="2"/>
        <v>0</v>
      </c>
      <c r="K22" s="55" t="str">
        <f t="shared" si="3"/>
        <v>#DIV/0!</v>
      </c>
      <c r="L22" s="56" t="str">
        <f>IFERROR(__xludf.DUMMYFUNCTION("SPARKLINE(GoogleFinance(A22, ""price"", TODAY()-30, TODAY()),{""color"",""blue"";""linewidth"",2})        "),"#N/A")</f>
        <v>#N/A</v>
      </c>
      <c r="M22" s="17" t="str">
        <f>IFERROR(__xludf.DUMMYFUNCTION("GOOGLEFINANCE(A22,""currency"")"),"#N/A")</f>
        <v>#N/A</v>
      </c>
      <c r="N22" s="57" t="str">
        <f t="shared" si="4"/>
        <v>#N/A</v>
      </c>
      <c r="O22" s="58" t="str">
        <f>IFERROR(__xludf.DUMMYFUNCTION("GOOGLEFINANCE(A22,""Change"")"),"#N/A")</f>
        <v>#N/A</v>
      </c>
      <c r="P22" s="59" t="str">
        <f>IFERROR(__xludf.DUMMYFUNCTION("GOOGLEFINANCE(A22,""High"")"),"#N/A")</f>
        <v>#N/A</v>
      </c>
      <c r="Q22" s="59" t="str">
        <f>IFERROR(__xludf.DUMMYFUNCTION("GOOGLEFINANCE(A22,""low"")"),"#N/A")</f>
        <v>#N/A</v>
      </c>
      <c r="R22" s="57" t="str">
        <f>IFERROR(__xludf.DUMMYFUNCTION("abs(P22-Q22)/GOOGLEFINANCE(A22,""closeyest"")"),"#N/A")</f>
        <v>#N/A</v>
      </c>
      <c r="S22" s="60" t="str">
        <f t="shared" si="5"/>
        <v>#N/A</v>
      </c>
      <c r="T22" s="62"/>
      <c r="U22" s="62"/>
      <c r="V22" s="63"/>
      <c r="W22" s="64" t="str">
        <f t="shared" si="6"/>
        <v>DATA UNAVAILABLE</v>
      </c>
      <c r="X22" s="65" t="str">
        <f>IFERROR(__xludf.DUMMYFUNCTION("GOOGLEFINANCE($A22,X$3)"),"#N/A")</f>
        <v>#N/A</v>
      </c>
      <c r="Y22" s="65" t="str">
        <f>IFERROR(__xludf.DUMMYFUNCTION("GOOGLEFINANCE($A22,Y$3)"),"#N/A")</f>
        <v>#N/A</v>
      </c>
      <c r="Z22" s="65" t="str">
        <f>IFERROR(__xludf.DUMMYFUNCTION("GOOGLEFINANCE($A22,Z$3)"),"#N/A")</f>
        <v>#N/A</v>
      </c>
      <c r="AA22" s="65" t="str">
        <f>IFERROR(__xludf.DUMMYFUNCTION("GOOGLEFINANCE($A22,AA$3)"),"#N/A")</f>
        <v>#N/A</v>
      </c>
      <c r="AB22" s="65" t="str">
        <f>IFERROR(__xludf.DUMMYFUNCTION("GOOGLEFINANCE($A22,AB$3)"),"#N/A")</f>
        <v>#N/A</v>
      </c>
      <c r="AC22" s="65" t="str">
        <f>IFERROR(__xludf.DUMMYFUNCTION("GOOGLEFINANCE($A22,AC$3)"),"#N/A")</f>
        <v>#N/A</v>
      </c>
      <c r="AD22" s="65" t="str">
        <f>IFERROR(__xludf.DUMMYFUNCTION("GOOGLEFINANCE($A22,AD$3)"),"#N/A")</f>
        <v>#N/A</v>
      </c>
      <c r="AE22" s="65" t="str">
        <f>IFERROR(__xludf.DUMMYFUNCTION("GOOGLEFINANCE($A22,AE$3)"),"#N/A")</f>
        <v>#N/A</v>
      </c>
      <c r="AF22" s="17"/>
      <c r="AG22" s="17"/>
      <c r="AH22" s="17"/>
      <c r="AI22" s="17"/>
      <c r="AJ22" s="17"/>
      <c r="AK22" s="17"/>
    </row>
    <row r="23">
      <c r="A23" s="47"/>
      <c r="B23" s="48" t="str">
        <f>IFERROR(__xludf.DUMMYFUNCTION("GOOGLEFINANCE(A23,""name"")"),"#N/A")</f>
        <v>#N/A</v>
      </c>
      <c r="C23" s="49"/>
      <c r="D23" s="50" t="str">
        <f>IFERROR(__xludf.DUMMYFUNCTION("GOOGLEFINANCE(A23)"),"#N/A")</f>
        <v>#N/A</v>
      </c>
      <c r="E23" s="51"/>
      <c r="F23" s="52" t="str">
        <f t="shared" si="1"/>
        <v>#N/A</v>
      </c>
      <c r="G23" s="51"/>
      <c r="H23" s="53">
        <f>IFERROR(__xludf.DUMMYFUNCTION("if(isblank(A23)=TRUE,0,if(M23=""GBX"",F23*G23/100,IF(M23=""EUR"",F23*G23/GOOGLEFINANCE(""CURRENCY:GBPEUR""),F23*G23/GOOGLEFINANCE(""CURRENCY:GBPUSD""))))"),0.0)</f>
        <v>0</v>
      </c>
      <c r="I23" s="54">
        <f>IFERROR(__xludf.DUMMYFUNCTION("if(isblank(A23)=TRUE,0,if(M23=""GBX"",D23*G23/100,IF(M23=""EUR"",D23*G23/GOOGLEFINANCE(""CURRENCY:GBPEUR""),D23*G23/GOOGLEFINANCE(""CURRENCY:GBPUSD""))))"),0.0)</f>
        <v>0</v>
      </c>
      <c r="J23" s="55">
        <f t="shared" si="2"/>
        <v>0</v>
      </c>
      <c r="K23" s="55" t="str">
        <f t="shared" si="3"/>
        <v>#DIV/0!</v>
      </c>
      <c r="L23" s="56" t="str">
        <f>IFERROR(__xludf.DUMMYFUNCTION("SPARKLINE(GoogleFinance(A23, ""price"", TODAY()-30, TODAY()),{""color"",""blue"";""linewidth"",2})        "),"#N/A")</f>
        <v>#N/A</v>
      </c>
      <c r="M23" s="17" t="str">
        <f>IFERROR(__xludf.DUMMYFUNCTION("GOOGLEFINANCE(A23,""currency"")"),"#N/A")</f>
        <v>#N/A</v>
      </c>
      <c r="N23" s="57" t="str">
        <f t="shared" si="4"/>
        <v>#N/A</v>
      </c>
      <c r="O23" s="58" t="str">
        <f>IFERROR(__xludf.DUMMYFUNCTION("GOOGLEFINANCE(A23,""Change"")"),"#N/A")</f>
        <v>#N/A</v>
      </c>
      <c r="P23" s="59" t="str">
        <f>IFERROR(__xludf.DUMMYFUNCTION("GOOGLEFINANCE(A23,""High"")"),"#N/A")</f>
        <v>#N/A</v>
      </c>
      <c r="Q23" s="59" t="str">
        <f>IFERROR(__xludf.DUMMYFUNCTION("GOOGLEFINANCE(A23,""low"")"),"#N/A")</f>
        <v>#N/A</v>
      </c>
      <c r="R23" s="57" t="str">
        <f>IFERROR(__xludf.DUMMYFUNCTION("abs(P23-Q23)/GOOGLEFINANCE(A23,""closeyest"")"),"#N/A")</f>
        <v>#N/A</v>
      </c>
      <c r="S23" s="60" t="str">
        <f t="shared" si="5"/>
        <v>#N/A</v>
      </c>
      <c r="T23" s="62"/>
      <c r="U23" s="62"/>
      <c r="V23" s="63"/>
      <c r="W23" s="64" t="str">
        <f t="shared" si="6"/>
        <v>DATA UNAVAILABLE</v>
      </c>
      <c r="X23" s="65" t="str">
        <f>IFERROR(__xludf.DUMMYFUNCTION("GOOGLEFINANCE($A23,X$3)"),"#N/A")</f>
        <v>#N/A</v>
      </c>
      <c r="Y23" s="65" t="str">
        <f>IFERROR(__xludf.DUMMYFUNCTION("GOOGLEFINANCE($A23,Y$3)"),"#N/A")</f>
        <v>#N/A</v>
      </c>
      <c r="Z23" s="65" t="str">
        <f>IFERROR(__xludf.DUMMYFUNCTION("GOOGLEFINANCE($A23,Z$3)"),"#N/A")</f>
        <v>#N/A</v>
      </c>
      <c r="AA23" s="65" t="str">
        <f>IFERROR(__xludf.DUMMYFUNCTION("GOOGLEFINANCE($A23,AA$3)"),"#N/A")</f>
        <v>#N/A</v>
      </c>
      <c r="AB23" s="65" t="str">
        <f>IFERROR(__xludf.DUMMYFUNCTION("GOOGLEFINANCE($A23,AB$3)"),"#N/A")</f>
        <v>#N/A</v>
      </c>
      <c r="AC23" s="65" t="str">
        <f>IFERROR(__xludf.DUMMYFUNCTION("GOOGLEFINANCE($A23,AC$3)"),"#N/A")</f>
        <v>#N/A</v>
      </c>
      <c r="AD23" s="65" t="str">
        <f>IFERROR(__xludf.DUMMYFUNCTION("GOOGLEFINANCE($A23,AD$3)"),"#N/A")</f>
        <v>#N/A</v>
      </c>
      <c r="AE23" s="65" t="str">
        <f>IFERROR(__xludf.DUMMYFUNCTION("GOOGLEFINANCE($A23,AE$3)"),"#N/A")</f>
        <v>#N/A</v>
      </c>
      <c r="AF23" s="17"/>
      <c r="AG23" s="17"/>
      <c r="AH23" s="17"/>
      <c r="AI23" s="17"/>
      <c r="AJ23" s="17"/>
      <c r="AK23" s="17"/>
    </row>
    <row r="24">
      <c r="A24" s="47"/>
      <c r="B24" s="48" t="str">
        <f>IFERROR(__xludf.DUMMYFUNCTION("GOOGLEFINANCE(A24,""name"")"),"#N/A")</f>
        <v>#N/A</v>
      </c>
      <c r="C24" s="49"/>
      <c r="D24" s="50" t="str">
        <f>IFERROR(__xludf.DUMMYFUNCTION("GOOGLEFINANCE(A24)"),"#N/A")</f>
        <v>#N/A</v>
      </c>
      <c r="E24" s="51"/>
      <c r="F24" s="52" t="str">
        <f t="shared" si="1"/>
        <v>#N/A</v>
      </c>
      <c r="G24" s="51"/>
      <c r="H24" s="53">
        <f>IFERROR(__xludf.DUMMYFUNCTION("if(isblank(A24)=TRUE,0,if(M24=""GBX"",F24*G24/100,IF(M24=""EUR"",F24*G24/GOOGLEFINANCE(""CURRENCY:GBPEUR""),F24*G24/GOOGLEFINANCE(""CURRENCY:GBPUSD""))))"),0.0)</f>
        <v>0</v>
      </c>
      <c r="I24" s="54">
        <f>IFERROR(__xludf.DUMMYFUNCTION("if(isblank(A24)=TRUE,0,if(M24=""GBX"",D24*G24/100,IF(M24=""EUR"",D24*G24/GOOGLEFINANCE(""CURRENCY:GBPEUR""),D24*G24/GOOGLEFINANCE(""CURRENCY:GBPUSD""))))"),0.0)</f>
        <v>0</v>
      </c>
      <c r="J24" s="55">
        <f t="shared" si="2"/>
        <v>0</v>
      </c>
      <c r="K24" s="55" t="str">
        <f t="shared" si="3"/>
        <v>#DIV/0!</v>
      </c>
      <c r="L24" s="56" t="str">
        <f>IFERROR(__xludf.DUMMYFUNCTION("SPARKLINE(GoogleFinance(A24, ""price"", TODAY()-30, TODAY()),{""color"",""blue"";""linewidth"",2})        "),"#N/A")</f>
        <v>#N/A</v>
      </c>
      <c r="M24" s="17" t="str">
        <f>IFERROR(__xludf.DUMMYFUNCTION("GOOGLEFINANCE(A24,""currency"")"),"#N/A")</f>
        <v>#N/A</v>
      </c>
      <c r="N24" s="57" t="str">
        <f t="shared" si="4"/>
        <v>#N/A</v>
      </c>
      <c r="O24" s="58" t="str">
        <f>IFERROR(__xludf.DUMMYFUNCTION("GOOGLEFINANCE(A24,""Change"")"),"#N/A")</f>
        <v>#N/A</v>
      </c>
      <c r="P24" s="59" t="str">
        <f>IFERROR(__xludf.DUMMYFUNCTION("GOOGLEFINANCE(A24,""High"")"),"#N/A")</f>
        <v>#N/A</v>
      </c>
      <c r="Q24" s="59" t="str">
        <f>IFERROR(__xludf.DUMMYFUNCTION("GOOGLEFINANCE(A24,""low"")"),"#N/A")</f>
        <v>#N/A</v>
      </c>
      <c r="R24" s="57" t="str">
        <f>IFERROR(__xludf.DUMMYFUNCTION("abs(P24-Q24)/GOOGLEFINANCE(A24,""closeyest"")"),"#N/A")</f>
        <v>#N/A</v>
      </c>
      <c r="S24" s="60" t="str">
        <f t="shared" si="5"/>
        <v>#N/A</v>
      </c>
      <c r="T24" s="62"/>
      <c r="U24" s="62"/>
      <c r="V24" s="63"/>
      <c r="W24" s="64" t="str">
        <f t="shared" si="6"/>
        <v>DATA UNAVAILABLE</v>
      </c>
      <c r="X24" s="65" t="str">
        <f>IFERROR(__xludf.DUMMYFUNCTION("GOOGLEFINANCE($A24,X$3)"),"#N/A")</f>
        <v>#N/A</v>
      </c>
      <c r="Y24" s="65" t="str">
        <f>IFERROR(__xludf.DUMMYFUNCTION("GOOGLEFINANCE($A24,Y$3)"),"#N/A")</f>
        <v>#N/A</v>
      </c>
      <c r="Z24" s="65" t="str">
        <f>IFERROR(__xludf.DUMMYFUNCTION("GOOGLEFINANCE($A24,Z$3)"),"#N/A")</f>
        <v>#N/A</v>
      </c>
      <c r="AA24" s="65" t="str">
        <f>IFERROR(__xludf.DUMMYFUNCTION("GOOGLEFINANCE($A24,AA$3)"),"#N/A")</f>
        <v>#N/A</v>
      </c>
      <c r="AB24" s="65" t="str">
        <f>IFERROR(__xludf.DUMMYFUNCTION("GOOGLEFINANCE($A24,AB$3)"),"#N/A")</f>
        <v>#N/A</v>
      </c>
      <c r="AC24" s="65" t="str">
        <f>IFERROR(__xludf.DUMMYFUNCTION("GOOGLEFINANCE($A24,AC$3)"),"#N/A")</f>
        <v>#N/A</v>
      </c>
      <c r="AD24" s="65" t="str">
        <f>IFERROR(__xludf.DUMMYFUNCTION("GOOGLEFINANCE($A24,AD$3)"),"#N/A")</f>
        <v>#N/A</v>
      </c>
      <c r="AE24" s="65" t="str">
        <f>IFERROR(__xludf.DUMMYFUNCTION("GOOGLEFINANCE($A24,AE$3)"),"#N/A")</f>
        <v>#N/A</v>
      </c>
      <c r="AF24" s="17"/>
      <c r="AG24" s="17"/>
      <c r="AH24" s="17"/>
      <c r="AI24" s="17"/>
      <c r="AJ24" s="17"/>
      <c r="AK24" s="17"/>
    </row>
    <row r="25">
      <c r="A25" s="47"/>
      <c r="B25" s="48" t="str">
        <f>IFERROR(__xludf.DUMMYFUNCTION("GOOGLEFINANCE(A25,""name"")"),"#N/A")</f>
        <v>#N/A</v>
      </c>
      <c r="C25" s="49"/>
      <c r="D25" s="50" t="str">
        <f>IFERROR(__xludf.DUMMYFUNCTION("GOOGLEFINANCE(A25)"),"#N/A")</f>
        <v>#N/A</v>
      </c>
      <c r="E25" s="67"/>
      <c r="F25" s="52" t="str">
        <f t="shared" si="1"/>
        <v>#N/A</v>
      </c>
      <c r="G25" s="51"/>
      <c r="H25" s="53">
        <f>IFERROR(__xludf.DUMMYFUNCTION("if(isblank(A25)=TRUE,0,if(M25=""GBX"",F25*G25/100,IF(M25=""EUR"",F25*G25/GOOGLEFINANCE(""CURRENCY:GBPEUR""),F25*G25/GOOGLEFINANCE(""CURRENCY:GBPUSD""))))"),0.0)</f>
        <v>0</v>
      </c>
      <c r="I25" s="54">
        <f>IFERROR(__xludf.DUMMYFUNCTION("if(isblank(A25)=TRUE,0,if(M25=""GBX"",D25*G25/100,IF(M25=""EUR"",D25*G25/GOOGLEFINANCE(""CURRENCY:GBPEUR""),D25*G25/GOOGLEFINANCE(""CURRENCY:GBPUSD""))))"),0.0)</f>
        <v>0</v>
      </c>
      <c r="J25" s="55">
        <f t="shared" si="2"/>
        <v>0</v>
      </c>
      <c r="K25" s="55" t="str">
        <f t="shared" si="3"/>
        <v>#DIV/0!</v>
      </c>
      <c r="L25" s="56" t="str">
        <f>IFERROR(__xludf.DUMMYFUNCTION("SPARKLINE(GoogleFinance(A25, ""price"", TODAY()-30, TODAY()),{""color"",""blue"";""linewidth"",2})        "),"#N/A")</f>
        <v>#N/A</v>
      </c>
      <c r="M25" s="17" t="str">
        <f>IFERROR(__xludf.DUMMYFUNCTION("GOOGLEFINANCE(A25,""currency"")"),"#N/A")</f>
        <v>#N/A</v>
      </c>
      <c r="N25" s="57" t="str">
        <f t="shared" si="4"/>
        <v>#N/A</v>
      </c>
      <c r="O25" s="58" t="str">
        <f>IFERROR(__xludf.DUMMYFUNCTION("GOOGLEFINANCE(A25,""Change"")"),"#N/A")</f>
        <v>#N/A</v>
      </c>
      <c r="P25" s="59" t="str">
        <f>IFERROR(__xludf.DUMMYFUNCTION("GOOGLEFINANCE(A25,""High"")"),"#N/A")</f>
        <v>#N/A</v>
      </c>
      <c r="Q25" s="59" t="str">
        <f>IFERROR(__xludf.DUMMYFUNCTION("GOOGLEFINANCE(A25,""low"")"),"#N/A")</f>
        <v>#N/A</v>
      </c>
      <c r="R25" s="57" t="str">
        <f>IFERROR(__xludf.DUMMYFUNCTION("abs(P25-Q25)/GOOGLEFINANCE(A25,""closeyest"")"),"#N/A")</f>
        <v>#N/A</v>
      </c>
      <c r="S25" s="60" t="str">
        <f t="shared" si="5"/>
        <v>#N/A</v>
      </c>
      <c r="T25" s="62"/>
      <c r="U25" s="62"/>
      <c r="V25" s="63"/>
      <c r="W25" s="64" t="str">
        <f t="shared" si="6"/>
        <v>DATA UNAVAILABLE</v>
      </c>
      <c r="X25" s="65" t="str">
        <f>IFERROR(__xludf.DUMMYFUNCTION("GOOGLEFINANCE($A25,X$3)"),"#N/A")</f>
        <v>#N/A</v>
      </c>
      <c r="Y25" s="65" t="str">
        <f>IFERROR(__xludf.DUMMYFUNCTION("GOOGLEFINANCE($A25,Y$3)"),"#N/A")</f>
        <v>#N/A</v>
      </c>
      <c r="Z25" s="65" t="str">
        <f>IFERROR(__xludf.DUMMYFUNCTION("GOOGLEFINANCE($A25,Z$3)"),"#N/A")</f>
        <v>#N/A</v>
      </c>
      <c r="AA25" s="65" t="str">
        <f>IFERROR(__xludf.DUMMYFUNCTION("GOOGLEFINANCE($A25,AA$3)"),"#N/A")</f>
        <v>#N/A</v>
      </c>
      <c r="AB25" s="65" t="str">
        <f>IFERROR(__xludf.DUMMYFUNCTION("GOOGLEFINANCE($A25,AB$3)"),"#N/A")</f>
        <v>#N/A</v>
      </c>
      <c r="AC25" s="65" t="str">
        <f>IFERROR(__xludf.DUMMYFUNCTION("GOOGLEFINANCE($A25,AC$3)"),"#N/A")</f>
        <v>#N/A</v>
      </c>
      <c r="AD25" s="65" t="str">
        <f>IFERROR(__xludf.DUMMYFUNCTION("GOOGLEFINANCE($A25,AD$3)"),"#N/A")</f>
        <v>#N/A</v>
      </c>
      <c r="AE25" s="65" t="str">
        <f>IFERROR(__xludf.DUMMYFUNCTION("GOOGLEFINANCE($A25,AE$3)"),"#N/A")</f>
        <v>#N/A</v>
      </c>
      <c r="AF25" s="17"/>
      <c r="AG25" s="17"/>
      <c r="AH25" s="17"/>
      <c r="AI25" s="17"/>
      <c r="AJ25" s="17"/>
      <c r="AK25" s="17"/>
    </row>
    <row r="26">
      <c r="A26" s="47"/>
      <c r="B26" s="48" t="str">
        <f>IFERROR(__xludf.DUMMYFUNCTION("GOOGLEFINANCE(A26,""name"")"),"#N/A")</f>
        <v>#N/A</v>
      </c>
      <c r="C26" s="49"/>
      <c r="D26" s="50" t="str">
        <f>IFERROR(__xludf.DUMMYFUNCTION("GOOGLEFINANCE(A26)"),"#N/A")</f>
        <v>#N/A</v>
      </c>
      <c r="E26" s="67"/>
      <c r="F26" s="52" t="str">
        <f t="shared" si="1"/>
        <v>#N/A</v>
      </c>
      <c r="G26" s="67"/>
      <c r="H26" s="53">
        <f>IFERROR(__xludf.DUMMYFUNCTION("if(isblank(A26)=TRUE,0,if(M26=""GBX"",F26*G26/100,IF(M26=""EUR"",F26*G26/GOOGLEFINANCE(""CURRENCY:GBPEUR""),F26*G26/GOOGLEFINANCE(""CURRENCY:GBPUSD""))))"),0.0)</f>
        <v>0</v>
      </c>
      <c r="I26" s="54">
        <f>IFERROR(__xludf.DUMMYFUNCTION("if(isblank(A26)=TRUE,0,if(M26=""GBX"",D26*G26/100,IF(M26=""EUR"",D26*G26/GOOGLEFINANCE(""CURRENCY:GBPEUR""),D26*G26/GOOGLEFINANCE(""CURRENCY:GBPUSD""))))"),0.0)</f>
        <v>0</v>
      </c>
      <c r="J26" s="55">
        <f t="shared" si="2"/>
        <v>0</v>
      </c>
      <c r="K26" s="55" t="str">
        <f t="shared" si="3"/>
        <v>#DIV/0!</v>
      </c>
      <c r="L26" s="56" t="str">
        <f>IFERROR(__xludf.DUMMYFUNCTION("SPARKLINE(GoogleFinance(A26, ""price"", TODAY()-30, TODAY()),{""color"",""blue"";""linewidth"",2})        "),"#N/A")</f>
        <v>#N/A</v>
      </c>
      <c r="M26" s="17" t="str">
        <f>IFERROR(__xludf.DUMMYFUNCTION("GOOGLEFINANCE(A26,""currency"")"),"#N/A")</f>
        <v>#N/A</v>
      </c>
      <c r="N26" s="57" t="str">
        <f t="shared" si="4"/>
        <v>#N/A</v>
      </c>
      <c r="O26" s="58" t="str">
        <f>IFERROR(__xludf.DUMMYFUNCTION("GOOGLEFINANCE(A26,""Change"")"),"#N/A")</f>
        <v>#N/A</v>
      </c>
      <c r="P26" s="59" t="str">
        <f>IFERROR(__xludf.DUMMYFUNCTION("GOOGLEFINANCE(A26,""High"")"),"#N/A")</f>
        <v>#N/A</v>
      </c>
      <c r="Q26" s="59" t="str">
        <f>IFERROR(__xludf.DUMMYFUNCTION("GOOGLEFINANCE(A26,""low"")"),"#N/A")</f>
        <v>#N/A</v>
      </c>
      <c r="R26" s="57" t="str">
        <f>IFERROR(__xludf.DUMMYFUNCTION("abs(P26-Q26)/GOOGLEFINANCE(A26,""closeyest"")"),"#N/A")</f>
        <v>#N/A</v>
      </c>
      <c r="S26" s="60" t="str">
        <f t="shared" si="5"/>
        <v>#N/A</v>
      </c>
      <c r="T26" s="62"/>
      <c r="U26" s="62"/>
      <c r="V26" s="63"/>
      <c r="W26" s="64" t="str">
        <f t="shared" si="6"/>
        <v>DATA UNAVAILABLE</v>
      </c>
      <c r="X26" s="65" t="str">
        <f>IFERROR(__xludf.DUMMYFUNCTION("GOOGLEFINANCE($A26,X$3)"),"#N/A")</f>
        <v>#N/A</v>
      </c>
      <c r="Y26" s="65" t="str">
        <f>IFERROR(__xludf.DUMMYFUNCTION("GOOGLEFINANCE($A26,Y$3)"),"#N/A")</f>
        <v>#N/A</v>
      </c>
      <c r="Z26" s="65" t="str">
        <f>IFERROR(__xludf.DUMMYFUNCTION("GOOGLEFINANCE($A26,Z$3)"),"#N/A")</f>
        <v>#N/A</v>
      </c>
      <c r="AA26" s="65" t="str">
        <f>IFERROR(__xludf.DUMMYFUNCTION("GOOGLEFINANCE($A26,AA$3)"),"#N/A")</f>
        <v>#N/A</v>
      </c>
      <c r="AB26" s="65" t="str">
        <f>IFERROR(__xludf.DUMMYFUNCTION("GOOGLEFINANCE($A26,AB$3)"),"#N/A")</f>
        <v>#N/A</v>
      </c>
      <c r="AC26" s="65" t="str">
        <f>IFERROR(__xludf.DUMMYFUNCTION("GOOGLEFINANCE($A26,AC$3)"),"#N/A")</f>
        <v>#N/A</v>
      </c>
      <c r="AD26" s="65" t="str">
        <f>IFERROR(__xludf.DUMMYFUNCTION("GOOGLEFINANCE($A26,AD$3)"),"#N/A")</f>
        <v>#N/A</v>
      </c>
      <c r="AE26" s="65" t="str">
        <f>IFERROR(__xludf.DUMMYFUNCTION("GOOGLEFINANCE($A26,AE$3)"),"#N/A")</f>
        <v>#N/A</v>
      </c>
      <c r="AF26" s="17"/>
      <c r="AG26" s="17"/>
      <c r="AH26" s="17"/>
      <c r="AI26" s="17"/>
      <c r="AJ26" s="17"/>
      <c r="AK26" s="17"/>
    </row>
    <row r="27">
      <c r="A27" s="47"/>
      <c r="B27" s="48" t="str">
        <f>IFERROR(__xludf.DUMMYFUNCTION("GOOGLEFINANCE(A27,""name"")"),"#N/A")</f>
        <v>#N/A</v>
      </c>
      <c r="C27" s="49"/>
      <c r="D27" s="50" t="str">
        <f>IFERROR(__xludf.DUMMYFUNCTION("GOOGLEFINANCE(A27)"),"#N/A")</f>
        <v>#N/A</v>
      </c>
      <c r="E27" s="67"/>
      <c r="F27" s="52" t="str">
        <f t="shared" si="1"/>
        <v>#N/A</v>
      </c>
      <c r="G27" s="67"/>
      <c r="H27" s="53">
        <f>IFERROR(__xludf.DUMMYFUNCTION("if(isblank(A27)=TRUE,0,if(M27=""GBX"",F27*G27/100,IF(M27=""EUR"",F27*G27/GOOGLEFINANCE(""CURRENCY:GBPEUR""),F27*G27/GOOGLEFINANCE(""CURRENCY:GBPUSD""))))"),0.0)</f>
        <v>0</v>
      </c>
      <c r="I27" s="54">
        <f>IFERROR(__xludf.DUMMYFUNCTION("if(isblank(A27)=TRUE,0,if(M27=""GBX"",D27*G27/100,IF(M27=""EUR"",D27*G27/GOOGLEFINANCE(""CURRENCY:GBPEUR""),D27*G27/GOOGLEFINANCE(""CURRENCY:GBPUSD""))))"),0.0)</f>
        <v>0</v>
      </c>
      <c r="J27" s="55">
        <f t="shared" si="2"/>
        <v>0</v>
      </c>
      <c r="K27" s="55" t="str">
        <f t="shared" si="3"/>
        <v>#DIV/0!</v>
      </c>
      <c r="L27" s="56" t="str">
        <f>IFERROR(__xludf.DUMMYFUNCTION("SPARKLINE(GoogleFinance(A27, ""price"", TODAY()-30, TODAY()),{""color"",""blue"";""linewidth"",2})        "),"#N/A")</f>
        <v>#N/A</v>
      </c>
      <c r="M27" s="17" t="str">
        <f>IFERROR(__xludf.DUMMYFUNCTION("GOOGLEFINANCE(A27,""currency"")"),"#N/A")</f>
        <v>#N/A</v>
      </c>
      <c r="N27" s="57" t="str">
        <f t="shared" si="4"/>
        <v>#N/A</v>
      </c>
      <c r="O27" s="58" t="str">
        <f>IFERROR(__xludf.DUMMYFUNCTION("GOOGLEFINANCE(A27,""Change"")"),"#N/A")</f>
        <v>#N/A</v>
      </c>
      <c r="P27" s="59" t="str">
        <f>IFERROR(__xludf.DUMMYFUNCTION("GOOGLEFINANCE(A27,""High"")"),"#N/A")</f>
        <v>#N/A</v>
      </c>
      <c r="Q27" s="59" t="str">
        <f>IFERROR(__xludf.DUMMYFUNCTION("GOOGLEFINANCE(A27,""low"")"),"#N/A")</f>
        <v>#N/A</v>
      </c>
      <c r="R27" s="57" t="str">
        <f>IFERROR(__xludf.DUMMYFUNCTION("abs(P27-Q27)/GOOGLEFINANCE(A27,""closeyest"")"),"#N/A")</f>
        <v>#N/A</v>
      </c>
      <c r="S27" s="60" t="str">
        <f t="shared" si="5"/>
        <v>#N/A</v>
      </c>
      <c r="T27" s="62"/>
      <c r="U27" s="62"/>
      <c r="V27" s="63"/>
      <c r="W27" s="64" t="str">
        <f t="shared" si="6"/>
        <v>DATA UNAVAILABLE</v>
      </c>
      <c r="X27" s="65" t="str">
        <f>IFERROR(__xludf.DUMMYFUNCTION("GOOGLEFINANCE($A27,X$3)"),"#N/A")</f>
        <v>#N/A</v>
      </c>
      <c r="Y27" s="65" t="str">
        <f>IFERROR(__xludf.DUMMYFUNCTION("GOOGLEFINANCE($A27,Y$3)"),"#N/A")</f>
        <v>#N/A</v>
      </c>
      <c r="Z27" s="65" t="str">
        <f>IFERROR(__xludf.DUMMYFUNCTION("GOOGLEFINANCE($A27,Z$3)"),"#N/A")</f>
        <v>#N/A</v>
      </c>
      <c r="AA27" s="65" t="str">
        <f>IFERROR(__xludf.DUMMYFUNCTION("GOOGLEFINANCE($A27,AA$3)"),"#N/A")</f>
        <v>#N/A</v>
      </c>
      <c r="AB27" s="65" t="str">
        <f>IFERROR(__xludf.DUMMYFUNCTION("GOOGLEFINANCE($A27,AB$3)"),"#N/A")</f>
        <v>#N/A</v>
      </c>
      <c r="AC27" s="65" t="str">
        <f>IFERROR(__xludf.DUMMYFUNCTION("GOOGLEFINANCE($A27,AC$3)"),"#N/A")</f>
        <v>#N/A</v>
      </c>
      <c r="AD27" s="65" t="str">
        <f>IFERROR(__xludf.DUMMYFUNCTION("GOOGLEFINANCE($A27,AD$3)"),"#N/A")</f>
        <v>#N/A</v>
      </c>
      <c r="AE27" s="65" t="str">
        <f>IFERROR(__xludf.DUMMYFUNCTION("GOOGLEFINANCE($A27,AE$3)"),"#N/A")</f>
        <v>#N/A</v>
      </c>
      <c r="AF27" s="17"/>
      <c r="AG27" s="17"/>
      <c r="AH27" s="17"/>
      <c r="AI27" s="17"/>
      <c r="AJ27" s="17"/>
      <c r="AK27" s="17"/>
    </row>
    <row r="28">
      <c r="A28" s="47"/>
      <c r="B28" s="48" t="str">
        <f>IFERROR(__xludf.DUMMYFUNCTION("GOOGLEFINANCE(A28,""name"")"),"#N/A")</f>
        <v>#N/A</v>
      </c>
      <c r="C28" s="49"/>
      <c r="D28" s="50" t="str">
        <f>IFERROR(__xludf.DUMMYFUNCTION("GOOGLEFINANCE(A28)"),"#N/A")</f>
        <v>#N/A</v>
      </c>
      <c r="E28" s="67"/>
      <c r="F28" s="52" t="str">
        <f t="shared" si="1"/>
        <v>#N/A</v>
      </c>
      <c r="G28" s="67"/>
      <c r="H28" s="53">
        <f>IFERROR(__xludf.DUMMYFUNCTION("if(isblank(A28)=TRUE,0,if(M28=""GBX"",F28*G28/100,IF(M28=""EUR"",F28*G28/GOOGLEFINANCE(""CURRENCY:GBPEUR""),F28*G28/GOOGLEFINANCE(""CURRENCY:GBPUSD""))))"),0.0)</f>
        <v>0</v>
      </c>
      <c r="I28" s="54">
        <f>IFERROR(__xludf.DUMMYFUNCTION("if(isblank(A28)=TRUE,0,if(M28=""GBX"",D28*G28/100,IF(M28=""EUR"",D28*G28/GOOGLEFINANCE(""CURRENCY:GBPEUR""),D28*G28/GOOGLEFINANCE(""CURRENCY:GBPUSD""))))"),0.0)</f>
        <v>0</v>
      </c>
      <c r="J28" s="55">
        <f t="shared" si="2"/>
        <v>0</v>
      </c>
      <c r="K28" s="55" t="str">
        <f t="shared" si="3"/>
        <v>#DIV/0!</v>
      </c>
      <c r="L28" s="56" t="str">
        <f>IFERROR(__xludf.DUMMYFUNCTION("SPARKLINE(GoogleFinance(A28, ""price"", TODAY()-30, TODAY()),{""color"",""blue"";""linewidth"",2})        "),"#N/A")</f>
        <v>#N/A</v>
      </c>
      <c r="M28" s="17" t="str">
        <f>IFERROR(__xludf.DUMMYFUNCTION("GOOGLEFINANCE(A28,""currency"")"),"#N/A")</f>
        <v>#N/A</v>
      </c>
      <c r="N28" s="57" t="str">
        <f t="shared" si="4"/>
        <v>#N/A</v>
      </c>
      <c r="O28" s="58" t="str">
        <f>IFERROR(__xludf.DUMMYFUNCTION("GOOGLEFINANCE(A28,""Change"")"),"#N/A")</f>
        <v>#N/A</v>
      </c>
      <c r="P28" s="59" t="str">
        <f>IFERROR(__xludf.DUMMYFUNCTION("GOOGLEFINANCE(A28,""High"")"),"#N/A")</f>
        <v>#N/A</v>
      </c>
      <c r="Q28" s="59" t="str">
        <f>IFERROR(__xludf.DUMMYFUNCTION("GOOGLEFINANCE(A28,""low"")"),"#N/A")</f>
        <v>#N/A</v>
      </c>
      <c r="R28" s="57" t="str">
        <f>IFERROR(__xludf.DUMMYFUNCTION("abs(P28-Q28)/GOOGLEFINANCE(A28,""closeyest"")"),"#N/A")</f>
        <v>#N/A</v>
      </c>
      <c r="S28" s="60" t="str">
        <f t="shared" si="5"/>
        <v>#N/A</v>
      </c>
      <c r="T28" s="62"/>
      <c r="U28" s="62"/>
      <c r="V28" s="63"/>
      <c r="W28" s="64" t="str">
        <f t="shared" si="6"/>
        <v>DATA UNAVAILABLE</v>
      </c>
      <c r="X28" s="65" t="str">
        <f>IFERROR(__xludf.DUMMYFUNCTION("GOOGLEFINANCE($A28,X$3)"),"#N/A")</f>
        <v>#N/A</v>
      </c>
      <c r="Y28" s="65" t="str">
        <f>IFERROR(__xludf.DUMMYFUNCTION("GOOGLEFINANCE($A28,Y$3)"),"#N/A")</f>
        <v>#N/A</v>
      </c>
      <c r="Z28" s="65" t="str">
        <f>IFERROR(__xludf.DUMMYFUNCTION("GOOGLEFINANCE($A28,Z$3)"),"#N/A")</f>
        <v>#N/A</v>
      </c>
      <c r="AA28" s="65" t="str">
        <f>IFERROR(__xludf.DUMMYFUNCTION("GOOGLEFINANCE($A28,AA$3)"),"#N/A")</f>
        <v>#N/A</v>
      </c>
      <c r="AB28" s="65" t="str">
        <f>IFERROR(__xludf.DUMMYFUNCTION("GOOGLEFINANCE($A28,AB$3)"),"#N/A")</f>
        <v>#N/A</v>
      </c>
      <c r="AC28" s="65" t="str">
        <f>IFERROR(__xludf.DUMMYFUNCTION("GOOGLEFINANCE($A28,AC$3)"),"#N/A")</f>
        <v>#N/A</v>
      </c>
      <c r="AD28" s="65" t="str">
        <f>IFERROR(__xludf.DUMMYFUNCTION("GOOGLEFINANCE($A28,AD$3)"),"#N/A")</f>
        <v>#N/A</v>
      </c>
      <c r="AE28" s="65" t="str">
        <f>IFERROR(__xludf.DUMMYFUNCTION("GOOGLEFINANCE($A28,AE$3)"),"#N/A")</f>
        <v>#N/A</v>
      </c>
      <c r="AF28" s="17"/>
      <c r="AG28" s="17"/>
      <c r="AH28" s="17"/>
      <c r="AI28" s="17"/>
      <c r="AJ28" s="17"/>
      <c r="AK28" s="17"/>
    </row>
    <row r="29">
      <c r="A29" s="68" t="s">
        <v>49</v>
      </c>
      <c r="B29" s="69"/>
      <c r="C29" s="70" t="s">
        <v>50</v>
      </c>
      <c r="D29" s="71"/>
      <c r="E29" s="72"/>
      <c r="F29" s="72"/>
      <c r="G29" s="72"/>
      <c r="H29" s="73"/>
      <c r="I29" s="73"/>
      <c r="J29" s="74"/>
      <c r="K29" s="74"/>
      <c r="L29" s="75"/>
      <c r="M29" s="72"/>
      <c r="N29" s="76"/>
      <c r="O29" s="77"/>
      <c r="P29" s="78"/>
      <c r="Q29" s="78"/>
      <c r="R29" s="76"/>
      <c r="S29" s="79"/>
      <c r="T29" s="80"/>
      <c r="U29" s="80"/>
      <c r="V29" s="81"/>
      <c r="W29" s="82"/>
      <c r="X29" s="83"/>
      <c r="Y29" s="83"/>
      <c r="Z29" s="83"/>
      <c r="AA29" s="83"/>
      <c r="AB29" s="83"/>
      <c r="AC29" s="83"/>
      <c r="AD29" s="83"/>
      <c r="AE29" s="83"/>
      <c r="AF29" s="72"/>
      <c r="AG29" s="72"/>
      <c r="AH29" s="72"/>
      <c r="AI29" s="72"/>
      <c r="AJ29" s="72"/>
      <c r="AK29" s="72"/>
      <c r="AL29" s="75"/>
      <c r="AM29" s="75"/>
    </row>
    <row r="30">
      <c r="A30" s="84" t="str">
        <f>'Virtual Portfolio'!A33</f>
        <v>SNAP</v>
      </c>
      <c r="B30" s="85" t="str">
        <f>IFERROR(__xludf.DUMMYFUNCTION("GOOGLEFINANCE(A30,""name"")"),"Snap Inc")</f>
        <v>Snap Inc</v>
      </c>
      <c r="C30" s="86" t="str">
        <f>'Virtual Portfolio'!C33</f>
        <v/>
      </c>
      <c r="D30" s="71">
        <f>IFERROR(__xludf.DUMMYFUNCTION("GOOGLEFINANCE(A30)"),4.75)</f>
        <v>4.75</v>
      </c>
      <c r="E30" s="86"/>
      <c r="F30" s="86"/>
      <c r="G30" s="86"/>
      <c r="H30" s="73"/>
      <c r="I30" s="73"/>
      <c r="J30" s="87"/>
      <c r="K30" s="55" t="str">
        <f t="shared" ref="K30:K52" si="7">(D30-E30)/E30</f>
        <v>#DIV/0!</v>
      </c>
      <c r="L30" s="56" t="str">
        <f>IFERROR(__xludf.DUMMYFUNCTION("SPARKLINE(GoogleFinance(A30, ""price"", TODAY()-30, TODAY()),{""color"",""blue"";""linewidth"",2})        "),"")</f>
        <v/>
      </c>
      <c r="M30" s="17" t="str">
        <f>IFERROR(__xludf.DUMMYFUNCTION("GOOGLEFINANCE(A30,""currency"")"),"USD")</f>
        <v>USD</v>
      </c>
      <c r="N30" s="57">
        <f t="shared" ref="N30:N52" si="8">round(D30/AE30-1,4)</f>
        <v>-0.0166</v>
      </c>
      <c r="O30" s="58">
        <f>IFERROR(__xludf.DUMMYFUNCTION("GOOGLEFINANCE(A30,""Change"")"),-0.09)</f>
        <v>-0.09</v>
      </c>
      <c r="P30" s="59">
        <f>IFERROR(__xludf.DUMMYFUNCTION("GOOGLEFINANCE(A30,""High"")"),4.87)</f>
        <v>4.87</v>
      </c>
      <c r="Q30" s="59">
        <f>IFERROR(__xludf.DUMMYFUNCTION("GOOGLEFINANCE(A30,""low"")"),4.66)</f>
        <v>4.66</v>
      </c>
      <c r="R30" s="57">
        <f>IFERROR(__xludf.DUMMYFUNCTION("abs(P30-Q30)/GOOGLEFINANCE(A30,""closeyest"")"),0.04347826086956521)</f>
        <v>0.04347826087</v>
      </c>
      <c r="S30" s="60">
        <f t="shared" ref="S30:S52" si="9">D30/Y30-1</f>
        <v>0.01931330472</v>
      </c>
      <c r="T30" s="61">
        <f>'Virtual Portfolio'!T33</f>
        <v>15</v>
      </c>
      <c r="U30" s="61">
        <f>'Virtual Portfolio'!U33</f>
        <v>50</v>
      </c>
      <c r="V30" s="63"/>
      <c r="W30" s="64" t="str">
        <f t="shared" ref="W30:W52" si="10">IF(ISERROR(if(or(AND(Q30&lt;=T30,T30&lt;=P30),AND(Q30&lt;=U30, U30&lt;=P30)),"TRADE ALERT","")),"DATA UNAVAILABLE",if(or(AND(Q30&lt;=T30,T30&lt;=P30),T30&gt;P30,AND(Q30&lt;=U30, U30&lt;=P30)),"TRADE ALERT"&amp;" - Price level hit for "&amp;A30&amp;" currently at "&amp;D30&amp;" "&amp;B30,""))</f>
        <v>TRADE ALERT - Price level hit for SNAP currently at 4.75 Snap Inc</v>
      </c>
      <c r="X30" s="65">
        <f>IFERROR(__xludf.DUMMYFUNCTION("GOOGLEFINANCE($A30,X$3)"),0.83)</f>
        <v>0.83</v>
      </c>
      <c r="Y30" s="65">
        <f>IFERROR(__xludf.DUMMYFUNCTION("GOOGLEFINANCE($A30,Y$3)"),4.66)</f>
        <v>4.66</v>
      </c>
      <c r="Z30" s="65">
        <f>IFERROR(__xludf.DUMMYFUNCTION("GOOGLEFINANCE($A30,Z$3)"),11.05)</f>
        <v>11.05</v>
      </c>
      <c r="AA30" s="65" t="str">
        <f>IFERROR(__xludf.DUMMYFUNCTION("GOOGLEFINANCE($A30,AA$3)"),"#N/A")</f>
        <v>#N/A</v>
      </c>
      <c r="AB30" s="65" t="str">
        <f>IFERROR(__xludf.DUMMYFUNCTION("GOOGLEFINANCE($A30,AB$3)"),"#N/A")</f>
        <v>#N/A</v>
      </c>
      <c r="AC30" s="65">
        <f>IFERROR(__xludf.DUMMYFUNCTION("GOOGLEFINANCE($A30,AC$3)"),0.0)</f>
        <v>0</v>
      </c>
      <c r="AD30" s="65">
        <f>IFERROR(__xludf.DUMMYFUNCTION("GOOGLEFINANCE($A30,AD$3)"),8.014072301E9)</f>
        <v>8014072301</v>
      </c>
      <c r="AE30" s="65">
        <f>IFERROR(__xludf.DUMMYFUNCTION("GOOGLEFINANCE($A30,AE$3)"),4.83)</f>
        <v>4.83</v>
      </c>
      <c r="AF30" s="17"/>
      <c r="AG30" s="17"/>
      <c r="AH30" s="17"/>
      <c r="AI30" s="17"/>
      <c r="AJ30" s="17"/>
      <c r="AK30" s="17"/>
    </row>
    <row r="31">
      <c r="A31" s="84" t="str">
        <f>'Virtual Portfolio'!A34</f>
        <v>CWBR</v>
      </c>
      <c r="B31" s="85" t="str">
        <f>IFERROR(__xludf.DUMMYFUNCTION("GOOGLEFINANCE(A31,""name"")"),"#N/A")</f>
        <v>#N/A</v>
      </c>
      <c r="C31" s="86" t="str">
        <f>'Virtual Portfolio'!C34</f>
        <v/>
      </c>
      <c r="D31" s="71" t="str">
        <f>IFERROR(__xludf.DUMMYFUNCTION("GOOGLEFINANCE(A31)"),"#N/A")</f>
        <v>#N/A</v>
      </c>
      <c r="E31" s="86"/>
      <c r="F31" s="86"/>
      <c r="G31" s="86"/>
      <c r="H31" s="73"/>
      <c r="I31" s="73"/>
      <c r="J31" s="87"/>
      <c r="K31" s="55" t="str">
        <f t="shared" si="7"/>
        <v>#N/A</v>
      </c>
      <c r="L31" s="56" t="str">
        <f>IFERROR(__xludf.DUMMYFUNCTION("SPARKLINE(GoogleFinance(A31, ""price"", TODAY()-30, TODAY()),{""color"",""blue"";""linewidth"",2})        "),"#N/A")</f>
        <v>#N/A</v>
      </c>
      <c r="M31" s="17" t="str">
        <f>IFERROR(__xludf.DUMMYFUNCTION("GOOGLEFINANCE(A31,""currency"")"),"#N/A")</f>
        <v>#N/A</v>
      </c>
      <c r="N31" s="57" t="str">
        <f t="shared" si="8"/>
        <v>#N/A</v>
      </c>
      <c r="O31" s="58" t="str">
        <f>IFERROR(__xludf.DUMMYFUNCTION("GOOGLEFINANCE(A31,""Change"")"),"#N/A")</f>
        <v>#N/A</v>
      </c>
      <c r="P31" s="59" t="str">
        <f>IFERROR(__xludf.DUMMYFUNCTION("GOOGLEFINANCE(A31,""High"")"),"#N/A")</f>
        <v>#N/A</v>
      </c>
      <c r="Q31" s="59" t="str">
        <f>IFERROR(__xludf.DUMMYFUNCTION("GOOGLEFINANCE(A31,""low"")"),"#N/A")</f>
        <v>#N/A</v>
      </c>
      <c r="R31" s="57" t="str">
        <f>IFERROR(__xludf.DUMMYFUNCTION("abs(P31-Q31)/GOOGLEFINANCE(A31,""closeyest"")"),"#N/A")</f>
        <v>#N/A</v>
      </c>
      <c r="S31" s="60" t="str">
        <f t="shared" si="9"/>
        <v>#N/A</v>
      </c>
      <c r="T31" s="61">
        <f>'Virtual Portfolio'!T34</f>
        <v>1.5</v>
      </c>
      <c r="U31" s="61" t="str">
        <f>'Virtual Portfolio'!U34</f>
        <v/>
      </c>
      <c r="V31" s="63"/>
      <c r="W31" s="64" t="str">
        <f t="shared" si="10"/>
        <v>DATA UNAVAILABLE</v>
      </c>
      <c r="X31" s="65" t="str">
        <f>IFERROR(__xludf.DUMMYFUNCTION("GOOGLEFINANCE($A31,X$3)"),"#N/A")</f>
        <v>#N/A</v>
      </c>
      <c r="Y31" s="65" t="str">
        <f>IFERROR(__xludf.DUMMYFUNCTION("GOOGLEFINANCE($A31,Y$3)"),"#N/A")</f>
        <v>#N/A</v>
      </c>
      <c r="Z31" s="65" t="str">
        <f>IFERROR(__xludf.DUMMYFUNCTION("GOOGLEFINANCE($A31,Z$3)"),"#N/A")</f>
        <v>#N/A</v>
      </c>
      <c r="AA31" s="65" t="str">
        <f>IFERROR(__xludf.DUMMYFUNCTION("GOOGLEFINANCE($A31,AA$3)"),"#N/A")</f>
        <v>#N/A</v>
      </c>
      <c r="AB31" s="65" t="str">
        <f>IFERROR(__xludf.DUMMYFUNCTION("GOOGLEFINANCE($A31,AB$3)"),"#N/A")</f>
        <v>#N/A</v>
      </c>
      <c r="AC31" s="65" t="str">
        <f>IFERROR(__xludf.DUMMYFUNCTION("GOOGLEFINANCE($A31,AC$3)"),"#N/A")</f>
        <v>#N/A</v>
      </c>
      <c r="AD31" s="65" t="str">
        <f>IFERROR(__xludf.DUMMYFUNCTION("GOOGLEFINANCE($A31,AD$3)"),"#N/A")</f>
        <v>#N/A</v>
      </c>
      <c r="AE31" s="65" t="str">
        <f>IFERROR(__xludf.DUMMYFUNCTION("GOOGLEFINANCE($A31,AE$3)"),"#N/A")</f>
        <v>#N/A</v>
      </c>
      <c r="AF31" s="17"/>
      <c r="AG31" s="17"/>
      <c r="AH31" s="17"/>
      <c r="AI31" s="17"/>
      <c r="AJ31" s="17"/>
      <c r="AK31" s="17"/>
    </row>
    <row r="32">
      <c r="A32" s="84" t="str">
        <f>'Virtual Portfolio'!A35</f>
        <v>HZD</v>
      </c>
      <c r="B32" s="85" t="str">
        <f>IFERROR(__xludf.DUMMYFUNCTION("GOOGLEFINANCE(A32,""name"")"),"#N/A")</f>
        <v>#N/A</v>
      </c>
      <c r="C32" s="86" t="str">
        <f>'Virtual Portfolio'!C35</f>
        <v/>
      </c>
      <c r="D32" s="71" t="str">
        <f>IFERROR(__xludf.DUMMYFUNCTION("GOOGLEFINANCE(A32)"),"#N/A")</f>
        <v>#N/A</v>
      </c>
      <c r="E32" s="86"/>
      <c r="F32" s="86"/>
      <c r="G32" s="86"/>
      <c r="H32" s="73"/>
      <c r="I32" s="73"/>
      <c r="J32" s="87"/>
      <c r="K32" s="55" t="str">
        <f t="shared" si="7"/>
        <v>#N/A</v>
      </c>
      <c r="L32" s="56" t="str">
        <f>IFERROR(__xludf.DUMMYFUNCTION("SPARKLINE(GoogleFinance(A32, ""price"", TODAY()-30, TODAY()),{""color"",""blue"";""linewidth"",2})        "),"#N/A")</f>
        <v>#N/A</v>
      </c>
      <c r="M32" s="17" t="str">
        <f>IFERROR(__xludf.DUMMYFUNCTION("GOOGLEFINANCE(A32,""currency"")"),"#N/A")</f>
        <v>#N/A</v>
      </c>
      <c r="N32" s="57" t="str">
        <f t="shared" si="8"/>
        <v>#N/A</v>
      </c>
      <c r="O32" s="58" t="str">
        <f>IFERROR(__xludf.DUMMYFUNCTION("GOOGLEFINANCE(A32,""Change"")"),"#N/A")</f>
        <v>#N/A</v>
      </c>
      <c r="P32" s="59" t="str">
        <f>IFERROR(__xludf.DUMMYFUNCTION("GOOGLEFINANCE(A32,""High"")"),"#N/A")</f>
        <v>#N/A</v>
      </c>
      <c r="Q32" s="59" t="str">
        <f>IFERROR(__xludf.DUMMYFUNCTION("GOOGLEFINANCE(A32,""low"")"),"#N/A")</f>
        <v>#N/A</v>
      </c>
      <c r="R32" s="57" t="str">
        <f>IFERROR(__xludf.DUMMYFUNCTION("abs(P32-Q32)/GOOGLEFINANCE(A32,""closeyest"")"),"#N/A")</f>
        <v>#N/A</v>
      </c>
      <c r="S32" s="60" t="str">
        <f t="shared" si="9"/>
        <v>#N/A</v>
      </c>
      <c r="T32" s="61">
        <f>'Virtual Portfolio'!T35</f>
        <v>105</v>
      </c>
      <c r="U32" s="61" t="str">
        <f>'Virtual Portfolio'!U35</f>
        <v/>
      </c>
      <c r="V32" s="63"/>
      <c r="W32" s="64" t="str">
        <f t="shared" si="10"/>
        <v>DATA UNAVAILABLE</v>
      </c>
      <c r="X32" s="65" t="str">
        <f>IFERROR(__xludf.DUMMYFUNCTION("GOOGLEFINANCE($A32,X$3)"),"#N/A")</f>
        <v>#N/A</v>
      </c>
      <c r="Y32" s="65" t="str">
        <f>IFERROR(__xludf.DUMMYFUNCTION("GOOGLEFINANCE($A32,Y$3)"),"#N/A")</f>
        <v>#N/A</v>
      </c>
      <c r="Z32" s="65" t="str">
        <f>IFERROR(__xludf.DUMMYFUNCTION("GOOGLEFINANCE($A32,Z$3)"),"#N/A")</f>
        <v>#N/A</v>
      </c>
      <c r="AA32" s="65" t="str">
        <f>IFERROR(__xludf.DUMMYFUNCTION("GOOGLEFINANCE($A32,AA$3)"),"#N/A")</f>
        <v>#N/A</v>
      </c>
      <c r="AB32" s="65" t="str">
        <f>IFERROR(__xludf.DUMMYFUNCTION("GOOGLEFINANCE($A32,AB$3)"),"#N/A")</f>
        <v>#N/A</v>
      </c>
      <c r="AC32" s="65" t="str">
        <f>IFERROR(__xludf.DUMMYFUNCTION("GOOGLEFINANCE($A32,AC$3)"),"#N/A")</f>
        <v>#N/A</v>
      </c>
      <c r="AD32" s="65" t="str">
        <f>IFERROR(__xludf.DUMMYFUNCTION("GOOGLEFINANCE($A32,AD$3)"),"#N/A")</f>
        <v>#N/A</v>
      </c>
      <c r="AE32" s="65" t="str">
        <f>IFERROR(__xludf.DUMMYFUNCTION("GOOGLEFINANCE($A32,AE$3)"),"#N/A")</f>
        <v>#N/A</v>
      </c>
      <c r="AF32" s="17"/>
      <c r="AG32" s="17"/>
      <c r="AH32" s="17"/>
      <c r="AI32" s="17"/>
      <c r="AJ32" s="17"/>
      <c r="AK32" s="17"/>
    </row>
    <row r="33">
      <c r="A33" s="84" t="str">
        <f>'Virtual Portfolio'!A36</f>
        <v>MANU</v>
      </c>
      <c r="B33" s="85" t="str">
        <f>IFERROR(__xludf.DUMMYFUNCTION("GOOGLEFINANCE(A33,""name"")"),"Manchester United PLC")</f>
        <v>Manchester United PLC</v>
      </c>
      <c r="C33" s="86" t="str">
        <f>'Virtual Portfolio'!C36</f>
        <v/>
      </c>
      <c r="D33" s="71">
        <f>IFERROR(__xludf.DUMMYFUNCTION("GOOGLEFINANCE(A33)"),17.75)</f>
        <v>17.75</v>
      </c>
      <c r="E33" s="86"/>
      <c r="F33" s="86"/>
      <c r="G33" s="86"/>
      <c r="H33" s="73"/>
      <c r="I33" s="73"/>
      <c r="J33" s="87"/>
      <c r="K33" s="55" t="str">
        <f t="shared" si="7"/>
        <v>#DIV/0!</v>
      </c>
      <c r="L33" s="56" t="str">
        <f>IFERROR(__xludf.DUMMYFUNCTION("SPARKLINE(GoogleFinance(A33, ""price"", TODAY()-30, TODAY()),{""color"",""blue"";""linewidth"",2})        "),"")</f>
        <v/>
      </c>
      <c r="M33" s="17" t="str">
        <f>IFERROR(__xludf.DUMMYFUNCTION("GOOGLEFINANCE(A33,""currency"")"),"USD")</f>
        <v>USD</v>
      </c>
      <c r="N33" s="57">
        <f t="shared" si="8"/>
        <v>0.0178</v>
      </c>
      <c r="O33" s="58">
        <f>IFERROR(__xludf.DUMMYFUNCTION("GOOGLEFINANCE(A33,""Change"")"),0.31)</f>
        <v>0.31</v>
      </c>
      <c r="P33" s="59">
        <f>IFERROR(__xludf.DUMMYFUNCTION("GOOGLEFINANCE(A33,""High"")"),17.75)</f>
        <v>17.75</v>
      </c>
      <c r="Q33" s="59">
        <f>IFERROR(__xludf.DUMMYFUNCTION("GOOGLEFINANCE(A33,""low"")"),17.34)</f>
        <v>17.34</v>
      </c>
      <c r="R33" s="57">
        <f>IFERROR(__xludf.DUMMYFUNCTION("abs(P33-Q33)/GOOGLEFINANCE(A33,""closeyest"")"),0.02350917431192661)</f>
        <v>0.02350917431</v>
      </c>
      <c r="S33" s="60">
        <f t="shared" si="9"/>
        <v>0.4730290456</v>
      </c>
      <c r="T33" s="61">
        <f>'Virtual Portfolio'!T36</f>
        <v>15</v>
      </c>
      <c r="U33" s="61" t="str">
        <f>'Virtual Portfolio'!U36</f>
        <v/>
      </c>
      <c r="V33" s="63"/>
      <c r="W33" s="64" t="str">
        <f t="shared" si="10"/>
        <v/>
      </c>
      <c r="X33" s="65">
        <f>IFERROR(__xludf.DUMMYFUNCTION("GOOGLEFINANCE($A33,X$3)"),0.54)</f>
        <v>0.54</v>
      </c>
      <c r="Y33" s="65">
        <f>IFERROR(__xludf.DUMMYFUNCTION("GOOGLEFINANCE($A33,Y$3)"),12.05)</f>
        <v>12.05</v>
      </c>
      <c r="Z33" s="65">
        <f>IFERROR(__xludf.DUMMYFUNCTION("GOOGLEFINANCE($A33,Z$3)"),19.65)</f>
        <v>19.65</v>
      </c>
      <c r="AA33" s="65" t="str">
        <f>IFERROR(__xludf.DUMMYFUNCTION("GOOGLEFINANCE($A33,AA$3)"),"#N/A")</f>
        <v>#N/A</v>
      </c>
      <c r="AB33" s="65" t="str">
        <f>IFERROR(__xludf.DUMMYFUNCTION("GOOGLEFINANCE($A33,AB$3)"),"#N/A")</f>
        <v>#N/A</v>
      </c>
      <c r="AC33" s="65">
        <f>IFERROR(__xludf.DUMMYFUNCTION("GOOGLEFINANCE($A33,AC$3)"),0.0)</f>
        <v>0</v>
      </c>
      <c r="AD33" s="65">
        <f>IFERROR(__xludf.DUMMYFUNCTION("GOOGLEFINANCE($A33,AD$3)"),3.055579075E9)</f>
        <v>3055579075</v>
      </c>
      <c r="AE33" s="65">
        <f>IFERROR(__xludf.DUMMYFUNCTION("GOOGLEFINANCE($A33,AE$3)"),17.44)</f>
        <v>17.44</v>
      </c>
      <c r="AF33" s="17"/>
      <c r="AG33" s="17"/>
      <c r="AH33" s="17"/>
      <c r="AI33" s="17"/>
      <c r="AJ33" s="17"/>
      <c r="AK33" s="17"/>
    </row>
    <row r="34">
      <c r="A34" s="84" t="str">
        <f>'Virtual Portfolio'!A37</f>
        <v>TIT</v>
      </c>
      <c r="B34" s="85" t="str">
        <f>IFERROR(__xludf.DUMMYFUNCTION("GOOGLEFINANCE(A34,""name"")"),"Telecom Italia SpA")</f>
        <v>Telecom Italia SpA</v>
      </c>
      <c r="C34" s="86" t="str">
        <f>'Virtual Portfolio'!C37</f>
        <v/>
      </c>
      <c r="D34" s="71">
        <f>IFERROR(__xludf.DUMMYFUNCTION("GOOGLEFINANCE(A34)"),0.66)</f>
        <v>0.66</v>
      </c>
      <c r="E34" s="86"/>
      <c r="F34" s="86"/>
      <c r="G34" s="86"/>
      <c r="H34" s="73"/>
      <c r="I34" s="73"/>
      <c r="J34" s="87"/>
      <c r="K34" s="55" t="str">
        <f t="shared" si="7"/>
        <v>#DIV/0!</v>
      </c>
      <c r="L34" s="56" t="str">
        <f>IFERROR(__xludf.DUMMYFUNCTION("SPARKLINE(GoogleFinance(A34, ""price"", TODAY()-30, TODAY()),{""color"",""blue"";""linewidth"",2})        "),"")</f>
        <v/>
      </c>
      <c r="M34" s="17" t="str">
        <f>IFERROR(__xludf.DUMMYFUNCTION("GOOGLEFINANCE(A34,""currency"")"),"EUR")</f>
        <v>EUR</v>
      </c>
      <c r="N34" s="57">
        <f t="shared" si="8"/>
        <v>0.0313</v>
      </c>
      <c r="O34" s="58">
        <f>IFERROR(__xludf.DUMMYFUNCTION("GOOGLEFINANCE(A34,""Change"")"),0.02)</f>
        <v>0.02</v>
      </c>
      <c r="P34" s="59">
        <f>IFERROR(__xludf.DUMMYFUNCTION("GOOGLEFINANCE(A34,""High"")"),0.66)</f>
        <v>0.66</v>
      </c>
      <c r="Q34" s="59">
        <f>IFERROR(__xludf.DUMMYFUNCTION("GOOGLEFINANCE(A34,""low"")"),0.64)</f>
        <v>0.64</v>
      </c>
      <c r="R34" s="57">
        <f>IFERROR(__xludf.DUMMYFUNCTION("abs(P34-Q34)/GOOGLEFINANCE(A34,""closeyest"")"),0.03125000000000003)</f>
        <v>0.03125</v>
      </c>
      <c r="S34" s="60">
        <f t="shared" si="9"/>
        <v>1.64</v>
      </c>
      <c r="T34" s="61">
        <f>'Virtual Portfolio'!T37</f>
        <v>0.35</v>
      </c>
      <c r="U34" s="61" t="str">
        <f>'Virtual Portfolio'!U37</f>
        <v/>
      </c>
      <c r="V34" s="63"/>
      <c r="W34" s="64" t="str">
        <f t="shared" si="10"/>
        <v/>
      </c>
      <c r="X34" s="65" t="str">
        <f>IFERROR(__xludf.DUMMYFUNCTION("GOOGLEFINANCE($A34,X$3)"),"#N/A")</f>
        <v>#N/A</v>
      </c>
      <c r="Y34" s="65">
        <f>IFERROR(__xludf.DUMMYFUNCTION("GOOGLEFINANCE($A34,Y$3)"),0.25)</f>
        <v>0.25</v>
      </c>
      <c r="Z34" s="65">
        <f>IFERROR(__xludf.DUMMYFUNCTION("GOOGLEFINANCE($A34,Z$3)"),0.66)</f>
        <v>0.66</v>
      </c>
      <c r="AA34" s="65" t="str">
        <f>IFERROR(__xludf.DUMMYFUNCTION("GOOGLEFINANCE($A34,AA$3)"),"#N/A")</f>
        <v>#N/A</v>
      </c>
      <c r="AB34" s="65" t="str">
        <f>IFERROR(__xludf.DUMMYFUNCTION("GOOGLEFINANCE($A34,AB$3)"),"#N/A")</f>
        <v>#N/A</v>
      </c>
      <c r="AC34" s="65">
        <f>IFERROR(__xludf.DUMMYFUNCTION("GOOGLEFINANCE($A34,AC$3)"),0.0)</f>
        <v>0</v>
      </c>
      <c r="AD34" s="65">
        <f>IFERROR(__xludf.DUMMYFUNCTION("GOOGLEFINANCE($A34,AD$3)"),1.7066289426E10)</f>
        <v>17066289426</v>
      </c>
      <c r="AE34" s="65">
        <f>IFERROR(__xludf.DUMMYFUNCTION("GOOGLEFINANCE($A34,AE$3)"),0.64)</f>
        <v>0.64</v>
      </c>
      <c r="AF34" s="17"/>
      <c r="AG34" s="17"/>
      <c r="AH34" s="17"/>
      <c r="AI34" s="17"/>
      <c r="AJ34" s="17"/>
      <c r="AK34" s="17"/>
    </row>
    <row r="35">
      <c r="A35" s="84" t="str">
        <f>'Virtual Portfolio'!A38</f>
        <v>OMG</v>
      </c>
      <c r="B35" s="85" t="str">
        <f>IFERROR(__xludf.DUMMYFUNCTION("GOOGLEFINANCE(A35,""name"")"),"Omai Gold Mines Corp")</f>
        <v>Omai Gold Mines Corp</v>
      </c>
      <c r="C35" s="86" t="str">
        <f>'Virtual Portfolio'!C38</f>
        <v/>
      </c>
      <c r="D35" s="71">
        <f>IFERROR(__xludf.DUMMYFUNCTION("GOOGLEFINANCE(A35)"),1.99)</f>
        <v>1.99</v>
      </c>
      <c r="E35" s="86"/>
      <c r="F35" s="86"/>
      <c r="G35" s="86"/>
      <c r="H35" s="73"/>
      <c r="I35" s="73"/>
      <c r="J35" s="87"/>
      <c r="K35" s="55" t="str">
        <f t="shared" si="7"/>
        <v>#DIV/0!</v>
      </c>
      <c r="L35" s="56" t="str">
        <f>IFERROR(__xludf.DUMMYFUNCTION("SPARKLINE(GoogleFinance(A35, ""price"", TODAY()-30, TODAY()),{""color"",""blue"";""linewidth"",2})        "),"")</f>
        <v/>
      </c>
      <c r="M35" s="17" t="str">
        <f>IFERROR(__xludf.DUMMYFUNCTION("GOOGLEFINANCE(A35,""currency"")"),"CAD")</f>
        <v>CAD</v>
      </c>
      <c r="N35" s="57">
        <f t="shared" si="8"/>
        <v>-0.0293</v>
      </c>
      <c r="O35" s="58">
        <f>IFERROR(__xludf.DUMMYFUNCTION("GOOGLEFINANCE(A35,""Change"")"),-0.06)</f>
        <v>-0.06</v>
      </c>
      <c r="P35" s="59">
        <f>IFERROR(__xludf.DUMMYFUNCTION("GOOGLEFINANCE(A35,""High"")"),2.06)</f>
        <v>2.06</v>
      </c>
      <c r="Q35" s="59">
        <f>IFERROR(__xludf.DUMMYFUNCTION("GOOGLEFINANCE(A35,""low"")"),1.91)</f>
        <v>1.91</v>
      </c>
      <c r="R35" s="57">
        <f>IFERROR(__xludf.DUMMYFUNCTION("abs(P35-Q35)/GOOGLEFINANCE(A35,""closeyest"")"),0.07317073170731714)</f>
        <v>0.07317073171</v>
      </c>
      <c r="S35" s="60">
        <f t="shared" si="9"/>
        <v>5.419354839</v>
      </c>
      <c r="T35" s="61">
        <f>'Virtual Portfolio'!T38</f>
        <v>80</v>
      </c>
      <c r="U35" s="61" t="str">
        <f>'Virtual Portfolio'!U38</f>
        <v/>
      </c>
      <c r="V35" s="63"/>
      <c r="W35" s="64" t="str">
        <f t="shared" si="10"/>
        <v>TRADE ALERT - Price level hit for OMG currently at 1.99 Omai Gold Mines Corp</v>
      </c>
      <c r="X35" s="65">
        <f>IFERROR(__xludf.DUMMYFUNCTION("GOOGLEFINANCE($A35,X$3)"),1.71)</f>
        <v>1.71</v>
      </c>
      <c r="Y35" s="65">
        <f>IFERROR(__xludf.DUMMYFUNCTION("GOOGLEFINANCE($A35,Y$3)"),0.31)</f>
        <v>0.31</v>
      </c>
      <c r="Z35" s="65">
        <f>IFERROR(__xludf.DUMMYFUNCTION("GOOGLEFINANCE($A35,Z$3)"),2.18)</f>
        <v>2.18</v>
      </c>
      <c r="AA35" s="65" t="str">
        <f>IFERROR(__xludf.DUMMYFUNCTION("GOOGLEFINANCE($A35,AA$3)"),"#N/A")</f>
        <v>#N/A</v>
      </c>
      <c r="AB35" s="65" t="str">
        <f>IFERROR(__xludf.DUMMYFUNCTION("GOOGLEFINANCE($A35,AB$3)"),"#N/A")</f>
        <v>#N/A</v>
      </c>
      <c r="AC35" s="65">
        <f>IFERROR(__xludf.DUMMYFUNCTION("GOOGLEFINANCE($A35,AC$3)"),15.0)</f>
        <v>15</v>
      </c>
      <c r="AD35" s="65">
        <f>IFERROR(__xludf.DUMMYFUNCTION("GOOGLEFINANCE($A35,AD$3)"),1.340140631E9)</f>
        <v>1340140631</v>
      </c>
      <c r="AE35" s="65">
        <f>IFERROR(__xludf.DUMMYFUNCTION("GOOGLEFINANCE($A35,AE$3)"),2.05)</f>
        <v>2.05</v>
      </c>
      <c r="AF35" s="17"/>
      <c r="AG35" s="17"/>
      <c r="AH35" s="17"/>
      <c r="AI35" s="17"/>
      <c r="AJ35" s="17"/>
      <c r="AK35" s="17"/>
    </row>
    <row r="36">
      <c r="A36" s="84" t="str">
        <f>'Virtual Portfolio'!A39</f>
        <v>GNUS</v>
      </c>
      <c r="B36" s="85" t="str">
        <f>IFERROR(__xludf.DUMMYFUNCTION("GOOGLEFINANCE(A36,""name"")"),"#N/A")</f>
        <v>#N/A</v>
      </c>
      <c r="C36" s="86" t="str">
        <f>'Virtual Portfolio'!C39</f>
        <v/>
      </c>
      <c r="D36" s="71" t="str">
        <f>IFERROR(__xludf.DUMMYFUNCTION("GOOGLEFINANCE(A36)"),"#N/A")</f>
        <v>#N/A</v>
      </c>
      <c r="E36" s="86"/>
      <c r="F36" s="86"/>
      <c r="G36" s="86"/>
      <c r="H36" s="73"/>
      <c r="I36" s="73"/>
      <c r="J36" s="87"/>
      <c r="K36" s="55" t="str">
        <f t="shared" si="7"/>
        <v>#N/A</v>
      </c>
      <c r="L36" s="56" t="str">
        <f>IFERROR(__xludf.DUMMYFUNCTION("SPARKLINE(GoogleFinance(A36, ""price"", TODAY()-30, TODAY()),{""color"",""blue"";""linewidth"",2})        "),"#N/A")</f>
        <v>#N/A</v>
      </c>
      <c r="M36" s="17" t="str">
        <f>IFERROR(__xludf.DUMMYFUNCTION("GOOGLEFINANCE(A36,""currency"")"),"#N/A")</f>
        <v>#N/A</v>
      </c>
      <c r="N36" s="57" t="str">
        <f t="shared" si="8"/>
        <v>#N/A</v>
      </c>
      <c r="O36" s="58" t="str">
        <f>IFERROR(__xludf.DUMMYFUNCTION("GOOGLEFINANCE(A36,""Change"")"),"#N/A")</f>
        <v>#N/A</v>
      </c>
      <c r="P36" s="59" t="str">
        <f>IFERROR(__xludf.DUMMYFUNCTION("GOOGLEFINANCE(A36,""High"")"),"#N/A")</f>
        <v>#N/A</v>
      </c>
      <c r="Q36" s="59" t="str">
        <f>IFERROR(__xludf.DUMMYFUNCTION("GOOGLEFINANCE(A36,""low"")"),"#N/A")</f>
        <v>#N/A</v>
      </c>
      <c r="R36" s="57" t="str">
        <f>IFERROR(__xludf.DUMMYFUNCTION("abs(P36-Q36)/GOOGLEFINANCE(A36,""closeyest"")"),"#N/A")</f>
        <v>#N/A</v>
      </c>
      <c r="S36" s="60" t="str">
        <f t="shared" si="9"/>
        <v>#N/A</v>
      </c>
      <c r="T36" s="61">
        <f>'Virtual Portfolio'!T39</f>
        <v>2.5</v>
      </c>
      <c r="U36" s="61" t="str">
        <f>'Virtual Portfolio'!U39</f>
        <v/>
      </c>
      <c r="V36" s="63"/>
      <c r="W36" s="64" t="str">
        <f t="shared" si="10"/>
        <v>DATA UNAVAILABLE</v>
      </c>
      <c r="X36" s="65" t="str">
        <f>IFERROR(__xludf.DUMMYFUNCTION("GOOGLEFINANCE($A36,X$3)"),"#N/A")</f>
        <v>#N/A</v>
      </c>
      <c r="Y36" s="65" t="str">
        <f>IFERROR(__xludf.DUMMYFUNCTION("GOOGLEFINANCE($A36,Y$3)"),"#N/A")</f>
        <v>#N/A</v>
      </c>
      <c r="Z36" s="65" t="str">
        <f>IFERROR(__xludf.DUMMYFUNCTION("GOOGLEFINANCE($A36,Z$3)"),"#N/A")</f>
        <v>#N/A</v>
      </c>
      <c r="AA36" s="65" t="str">
        <f>IFERROR(__xludf.DUMMYFUNCTION("GOOGLEFINANCE($A36,AA$3)"),"#N/A")</f>
        <v>#N/A</v>
      </c>
      <c r="AB36" s="65" t="str">
        <f>IFERROR(__xludf.DUMMYFUNCTION("GOOGLEFINANCE($A36,AB$3)"),"#N/A")</f>
        <v>#N/A</v>
      </c>
      <c r="AC36" s="65" t="str">
        <f>IFERROR(__xludf.DUMMYFUNCTION("GOOGLEFINANCE($A36,AC$3)"),"#N/A")</f>
        <v>#N/A</v>
      </c>
      <c r="AD36" s="65" t="str">
        <f>IFERROR(__xludf.DUMMYFUNCTION("GOOGLEFINANCE($A36,AD$3)"),"#N/A")</f>
        <v>#N/A</v>
      </c>
      <c r="AE36" s="65" t="str">
        <f>IFERROR(__xludf.DUMMYFUNCTION("GOOGLEFINANCE($A36,AE$3)"),"#N/A")</f>
        <v>#N/A</v>
      </c>
      <c r="AF36" s="17"/>
      <c r="AG36" s="17"/>
      <c r="AH36" s="17"/>
      <c r="AI36" s="17"/>
      <c r="AJ36" s="17"/>
      <c r="AK36" s="17"/>
    </row>
    <row r="37">
      <c r="A37" s="84" t="str">
        <f>'Virtual Portfolio'!A40</f>
        <v>CPE</v>
      </c>
      <c r="B37" s="85" t="str">
        <f>IFERROR(__xludf.DUMMYFUNCTION("GOOGLEFINANCE(A37,""name"")"),"Callon Petroleum Ord Shs")</f>
        <v>Callon Petroleum Ord Shs</v>
      </c>
      <c r="C37" s="86" t="str">
        <f>'Virtual Portfolio'!C40</f>
        <v/>
      </c>
      <c r="D37" s="71">
        <f>IFERROR(__xludf.DUMMYFUNCTION("GOOGLEFINANCE(A37)"),0.0)</f>
        <v>0</v>
      </c>
      <c r="E37" s="86"/>
      <c r="F37" s="86"/>
      <c r="G37" s="86"/>
      <c r="H37" s="73"/>
      <c r="I37" s="73"/>
      <c r="J37" s="87"/>
      <c r="K37" s="55" t="str">
        <f t="shared" si="7"/>
        <v>#DIV/0!</v>
      </c>
      <c r="L37" s="56" t="str">
        <f>IFERROR(__xludf.DUMMYFUNCTION("SPARKLINE(GoogleFinance(A37, ""price"", TODAY()-30, TODAY()),{""color"",""blue"";""linewidth"",2})        "),"#N/A")</f>
        <v>#N/A</v>
      </c>
      <c r="M37" s="17" t="str">
        <f>IFERROR(__xludf.DUMMYFUNCTION("GOOGLEFINANCE(A37,""currency"")"),"MXN")</f>
        <v>MXN</v>
      </c>
      <c r="N37" s="57">
        <f t="shared" si="8"/>
        <v>-1</v>
      </c>
      <c r="O37" s="58">
        <f>IFERROR(__xludf.DUMMYFUNCTION("GOOGLEFINANCE(A37,""Change"")"),-557.0)</f>
        <v>-557</v>
      </c>
      <c r="P37" s="59" t="str">
        <f>IFERROR(__xludf.DUMMYFUNCTION("GOOGLEFINANCE(A37,""High"")"),"#N/A")</f>
        <v>#N/A</v>
      </c>
      <c r="Q37" s="59" t="str">
        <f>IFERROR(__xludf.DUMMYFUNCTION("GOOGLEFINANCE(A37,""low"")"),"#N/A")</f>
        <v>#N/A</v>
      </c>
      <c r="R37" s="57" t="str">
        <f>IFERROR(__xludf.DUMMYFUNCTION("abs(P37-Q37)/GOOGLEFINANCE(A37,""closeyest"")"),"#N/A")</f>
        <v>#N/A</v>
      </c>
      <c r="S37" s="60">
        <f t="shared" si="9"/>
        <v>-1</v>
      </c>
      <c r="T37" s="61">
        <f>'Virtual Portfolio'!T40</f>
        <v>1</v>
      </c>
      <c r="U37" s="61" t="str">
        <f>'Virtual Portfolio'!U40</f>
        <v/>
      </c>
      <c r="V37" s="63"/>
      <c r="W37" s="64" t="str">
        <f t="shared" si="10"/>
        <v>DATA UNAVAILABLE</v>
      </c>
      <c r="X37" s="65" t="str">
        <f>IFERROR(__xludf.DUMMYFUNCTION("GOOGLEFINANCE($A37,X$3)"),"#N/A")</f>
        <v>#N/A</v>
      </c>
      <c r="Y37" s="65">
        <f>IFERROR(__xludf.DUMMYFUNCTION("GOOGLEFINANCE($A37,Y$3)"),557.0)</f>
        <v>557</v>
      </c>
      <c r="Z37" s="65">
        <f>IFERROR(__xludf.DUMMYFUNCTION("GOOGLEFINANCE($A37,Z$3)"),557.0)</f>
        <v>557</v>
      </c>
      <c r="AA37" s="65" t="str">
        <f>IFERROR(__xludf.DUMMYFUNCTION("GOOGLEFINANCE($A37,AA$3)"),"#N/A")</f>
        <v>#N/A</v>
      </c>
      <c r="AB37" s="65" t="str">
        <f>IFERROR(__xludf.DUMMYFUNCTION("GOOGLEFINANCE($A37,AB$3)"),"#N/A")</f>
        <v>#N/A</v>
      </c>
      <c r="AC37" s="65">
        <f>IFERROR(__xludf.DUMMYFUNCTION("GOOGLEFINANCE($A37,AC$3)"),20.0)</f>
        <v>20</v>
      </c>
      <c r="AD37" s="65" t="str">
        <f>IFERROR(__xludf.DUMMYFUNCTION("GOOGLEFINANCE($A37,AD$3)"),"#N/A")</f>
        <v>#N/A</v>
      </c>
      <c r="AE37" s="65">
        <f>IFERROR(__xludf.DUMMYFUNCTION("GOOGLEFINANCE($A37,AE$3)"),557.0)</f>
        <v>557</v>
      </c>
      <c r="AF37" s="17"/>
      <c r="AG37" s="17"/>
      <c r="AH37" s="17"/>
      <c r="AI37" s="17"/>
      <c r="AJ37" s="17"/>
      <c r="AK37" s="17"/>
    </row>
    <row r="38">
      <c r="A38" s="84" t="str">
        <f>'Virtual Portfolio'!A41</f>
        <v>LLOY</v>
      </c>
      <c r="B38" s="85" t="str">
        <f>IFERROR(__xludf.DUMMYFUNCTION("GOOGLEFINANCE(A38,""name"")"),"Lloyds Banking Group PLC")</f>
        <v>Lloyds Banking Group PLC</v>
      </c>
      <c r="C38" s="86" t="str">
        <f>'Virtual Portfolio'!C41</f>
        <v/>
      </c>
      <c r="D38" s="71">
        <f>IFERROR(__xludf.DUMMYFUNCTION("GOOGLEFINANCE(A38)"),101.85)</f>
        <v>101.85</v>
      </c>
      <c r="E38" s="86"/>
      <c r="F38" s="86"/>
      <c r="G38" s="86"/>
      <c r="H38" s="73"/>
      <c r="I38" s="73"/>
      <c r="J38" s="87"/>
      <c r="K38" s="55" t="str">
        <f t="shared" si="7"/>
        <v>#DIV/0!</v>
      </c>
      <c r="L38" s="56" t="str">
        <f>IFERROR(__xludf.DUMMYFUNCTION("SPARKLINE(GoogleFinance(A38, ""price"", TODAY()-30, TODAY()),{""color"",""blue"";""linewidth"",2})        "),"")</f>
        <v/>
      </c>
      <c r="M38" s="17" t="str">
        <f>IFERROR(__xludf.DUMMYFUNCTION("GOOGLEFINANCE(A38,""currency"")"),"GBX")</f>
        <v>GBX</v>
      </c>
      <c r="N38" s="57">
        <f t="shared" si="8"/>
        <v>0.0044</v>
      </c>
      <c r="O38" s="58">
        <f>IFERROR(__xludf.DUMMYFUNCTION("GOOGLEFINANCE(A38,""Change"")"),0.45)</f>
        <v>0.45</v>
      </c>
      <c r="P38" s="59">
        <f>IFERROR(__xludf.DUMMYFUNCTION("GOOGLEFINANCE(A38,""High"")"),102.75)</f>
        <v>102.75</v>
      </c>
      <c r="Q38" s="59">
        <f>IFERROR(__xludf.DUMMYFUNCTION("GOOGLEFINANCE(A38,""low"")"),100.6)</f>
        <v>100.6</v>
      </c>
      <c r="R38" s="57">
        <f>IFERROR(__xludf.DUMMYFUNCTION("abs(P38-Q38)/GOOGLEFINANCE(A38,""closeyest"")"),0.02120315581854049)</f>
        <v>0.02120315582</v>
      </c>
      <c r="S38" s="60">
        <f t="shared" si="9"/>
        <v>0.675715696</v>
      </c>
      <c r="T38" s="61">
        <f>'Virtual Portfolio'!T41</f>
        <v>30</v>
      </c>
      <c r="U38" s="61" t="str">
        <f>'Virtual Portfolio'!U41</f>
        <v/>
      </c>
      <c r="V38" s="63"/>
      <c r="W38" s="64" t="str">
        <f t="shared" si="10"/>
        <v/>
      </c>
      <c r="X38" s="65" t="str">
        <f>IFERROR(__xludf.DUMMYFUNCTION("GOOGLEFINANCE($A38,X$3)"),"#N/A")</f>
        <v>#N/A</v>
      </c>
      <c r="Y38" s="65">
        <f>IFERROR(__xludf.DUMMYFUNCTION("GOOGLEFINANCE($A38,Y$3)"),60.78)</f>
        <v>60.78</v>
      </c>
      <c r="Z38" s="65">
        <f>IFERROR(__xludf.DUMMYFUNCTION("GOOGLEFINANCE($A38,Z$3)"),114.6)</f>
        <v>114.6</v>
      </c>
      <c r="AA38" s="65" t="str">
        <f>IFERROR(__xludf.DUMMYFUNCTION("GOOGLEFINANCE($A38,AA$3)"),"#N/A")</f>
        <v>#N/A</v>
      </c>
      <c r="AB38" s="65" t="str">
        <f>IFERROR(__xludf.DUMMYFUNCTION("GOOGLEFINANCE($A38,AB$3)"),"#N/A")</f>
        <v>#N/A</v>
      </c>
      <c r="AC38" s="65">
        <f>IFERROR(__xludf.DUMMYFUNCTION("GOOGLEFINANCE($A38,AC$3)"),0.0)</f>
        <v>0</v>
      </c>
      <c r="AD38" s="65">
        <f>IFERROR(__xludf.DUMMYFUNCTION("GOOGLEFINANCE($A38,AD$3)"),8.2759581393E10)</f>
        <v>82759581393</v>
      </c>
      <c r="AE38" s="65">
        <f>IFERROR(__xludf.DUMMYFUNCTION("GOOGLEFINANCE($A38,AE$3)"),101.4)</f>
        <v>101.4</v>
      </c>
      <c r="AF38" s="17"/>
      <c r="AG38" s="17"/>
      <c r="AH38" s="17"/>
      <c r="AI38" s="17"/>
      <c r="AJ38" s="17"/>
      <c r="AK38" s="17"/>
    </row>
    <row r="39">
      <c r="A39" s="84" t="str">
        <f>'Virtual Portfolio'!A42</f>
        <v>TED</v>
      </c>
      <c r="B39" s="85" t="str">
        <f>IFERROR(__xludf.DUMMYFUNCTION("GOOGLEFINANCE(A39,""name"")"),"Terrascend Corp")</f>
        <v>Terrascend Corp</v>
      </c>
      <c r="C39" s="86" t="str">
        <f>'Virtual Portfolio'!C42</f>
        <v/>
      </c>
      <c r="D39" s="71">
        <f>IFERROR(__xludf.DUMMYFUNCTION("GOOGLEFINANCE(A39)"),0.47)</f>
        <v>0.47</v>
      </c>
      <c r="E39" s="86"/>
      <c r="F39" s="86"/>
      <c r="G39" s="86"/>
      <c r="H39" s="73"/>
      <c r="I39" s="73"/>
      <c r="J39" s="87"/>
      <c r="K39" s="55" t="str">
        <f t="shared" si="7"/>
        <v>#DIV/0!</v>
      </c>
      <c r="L39" s="56" t="str">
        <f>IFERROR(__xludf.DUMMYFUNCTION("SPARKLINE(GoogleFinance(A39, ""price"", TODAY()-30, TODAY()),{""color"",""blue"";""linewidth"",2})        "),"")</f>
        <v/>
      </c>
      <c r="M39" s="17" t="str">
        <f>IFERROR(__xludf.DUMMYFUNCTION("GOOGLEFINANCE(A39,""currency"")"),"EUR")</f>
        <v>EUR</v>
      </c>
      <c r="N39" s="57">
        <f t="shared" si="8"/>
        <v>0</v>
      </c>
      <c r="O39" s="58">
        <f>IFERROR(__xludf.DUMMYFUNCTION("GOOGLEFINANCE(A39,""Change"")"),0.0)</f>
        <v>0</v>
      </c>
      <c r="P39" s="59">
        <f>IFERROR(__xludf.DUMMYFUNCTION("GOOGLEFINANCE(A39,""High"")"),0.49)</f>
        <v>0.49</v>
      </c>
      <c r="Q39" s="59">
        <f>IFERROR(__xludf.DUMMYFUNCTION("GOOGLEFINANCE(A39,""low"")"),0.47)</f>
        <v>0.47</v>
      </c>
      <c r="R39" s="57">
        <f>IFERROR(__xludf.DUMMYFUNCTION("abs(P39-Q39)/GOOGLEFINANCE(A39,""closeyest"")"),0.04255319148936174)</f>
        <v>0.04255319149</v>
      </c>
      <c r="S39" s="60">
        <f t="shared" si="9"/>
        <v>1.764705882</v>
      </c>
      <c r="T39" s="61">
        <f>'Virtual Portfolio'!T42</f>
        <v>75</v>
      </c>
      <c r="U39" s="61" t="str">
        <f>'Virtual Portfolio'!U42</f>
        <v/>
      </c>
      <c r="V39" s="63"/>
      <c r="W39" s="64" t="str">
        <f t="shared" si="10"/>
        <v>TRADE ALERT - Price level hit for TED currently at 0.47 Terrascend Corp</v>
      </c>
      <c r="X39" s="65" t="str">
        <f>IFERROR(__xludf.DUMMYFUNCTION("GOOGLEFINANCE($A39,X$3)"),"#N/A")</f>
        <v>#N/A</v>
      </c>
      <c r="Y39" s="65">
        <f>IFERROR(__xludf.DUMMYFUNCTION("GOOGLEFINANCE($A39,Y$3)"),0.17)</f>
        <v>0.17</v>
      </c>
      <c r="Z39" s="65">
        <f>IFERROR(__xludf.DUMMYFUNCTION("GOOGLEFINANCE($A39,Z$3)"),1.09)</f>
        <v>1.09</v>
      </c>
      <c r="AA39" s="65" t="str">
        <f>IFERROR(__xludf.DUMMYFUNCTION("GOOGLEFINANCE($A39,AA$3)"),"#N/A")</f>
        <v>#N/A</v>
      </c>
      <c r="AB39" s="65" t="str">
        <f>IFERROR(__xludf.DUMMYFUNCTION("GOOGLEFINANCE($A39,AB$3)"),"#N/A")</f>
        <v>#N/A</v>
      </c>
      <c r="AC39" s="65">
        <f>IFERROR(__xludf.DUMMYFUNCTION("GOOGLEFINANCE($A39,AC$3)"),15.0)</f>
        <v>15</v>
      </c>
      <c r="AD39" s="65">
        <f>IFERROR(__xludf.DUMMYFUNCTION("GOOGLEFINANCE($A39,AD$3)"),3.01350132E8)</f>
        <v>301350132</v>
      </c>
      <c r="AE39" s="65">
        <f>IFERROR(__xludf.DUMMYFUNCTION("GOOGLEFINANCE($A39,AE$3)"),0.47)</f>
        <v>0.47</v>
      </c>
      <c r="AF39" s="17"/>
      <c r="AG39" s="17"/>
      <c r="AH39" s="17"/>
      <c r="AI39" s="17"/>
      <c r="AJ39" s="17"/>
      <c r="AK39" s="17"/>
    </row>
    <row r="40">
      <c r="A40" s="84" t="str">
        <f>'Virtual Portfolio'!A43</f>
        <v>KO</v>
      </c>
      <c r="B40" s="85" t="str">
        <f>IFERROR(__xludf.DUMMYFUNCTION("GOOGLEFINANCE(A40,""name"")"),"Coca-Cola Co")</f>
        <v>Coca-Cola Co</v>
      </c>
      <c r="C40" s="86" t="str">
        <f>'Virtual Portfolio'!C43</f>
        <v/>
      </c>
      <c r="D40" s="71">
        <f>IFERROR(__xludf.DUMMYFUNCTION("GOOGLEFINANCE(A40)"),79.37)</f>
        <v>79.37</v>
      </c>
      <c r="E40" s="86"/>
      <c r="F40" s="86"/>
      <c r="G40" s="86"/>
      <c r="H40" s="73"/>
      <c r="I40" s="73"/>
      <c r="J40" s="87"/>
      <c r="K40" s="55" t="str">
        <f t="shared" si="7"/>
        <v>#DIV/0!</v>
      </c>
      <c r="L40" s="56" t="str">
        <f>IFERROR(__xludf.DUMMYFUNCTION("SPARKLINE(GoogleFinance(A40, ""price"", TODAY()-30, TODAY()),{""color"",""blue"";""linewidth"",2})        "),"")</f>
        <v/>
      </c>
      <c r="M40" s="17" t="str">
        <f>IFERROR(__xludf.DUMMYFUNCTION("GOOGLEFINANCE(A40,""currency"")"),"USD")</f>
        <v>USD</v>
      </c>
      <c r="N40" s="57">
        <f t="shared" si="8"/>
        <v>0.0088</v>
      </c>
      <c r="O40" s="58">
        <f>IFERROR(__xludf.DUMMYFUNCTION("GOOGLEFINANCE(A40,""Change"")"),0.69)</f>
        <v>0.69</v>
      </c>
      <c r="P40" s="59">
        <f>IFERROR(__xludf.DUMMYFUNCTION("GOOGLEFINANCE(A40,""High"")"),79.54)</f>
        <v>79.54</v>
      </c>
      <c r="Q40" s="59">
        <f>IFERROR(__xludf.DUMMYFUNCTION("GOOGLEFINANCE(A40,""low"")"),78.74)</f>
        <v>78.74</v>
      </c>
      <c r="R40" s="57">
        <f>IFERROR(__xludf.DUMMYFUNCTION("abs(P40-Q40)/GOOGLEFINANCE(A40,""closeyest"")"),0.010167768174885756)</f>
        <v>0.01016776817</v>
      </c>
      <c r="S40" s="60">
        <f t="shared" si="9"/>
        <v>0.2145371079</v>
      </c>
      <c r="T40" s="61">
        <f>'Virtual Portfolio'!T43</f>
        <v>40</v>
      </c>
      <c r="U40" s="61" t="str">
        <f>'Virtual Portfolio'!U43</f>
        <v/>
      </c>
      <c r="V40" s="63"/>
      <c r="W40" s="64" t="str">
        <f t="shared" si="10"/>
        <v/>
      </c>
      <c r="X40" s="65">
        <f>IFERROR(__xludf.DUMMYFUNCTION("GOOGLEFINANCE($A40,X$3)"),0.36)</f>
        <v>0.36</v>
      </c>
      <c r="Y40" s="65">
        <f>IFERROR(__xludf.DUMMYFUNCTION("GOOGLEFINANCE($A40,Y$3)"),65.35)</f>
        <v>65.35</v>
      </c>
      <c r="Z40" s="65">
        <f>IFERROR(__xludf.DUMMYFUNCTION("GOOGLEFINANCE($A40,Z$3)"),80.41)</f>
        <v>80.41</v>
      </c>
      <c r="AA40" s="65" t="str">
        <f>IFERROR(__xludf.DUMMYFUNCTION("GOOGLEFINANCE($A40,AA$3)"),"#N/A")</f>
        <v>#N/A</v>
      </c>
      <c r="AB40" s="65">
        <f>IFERROR(__xludf.DUMMYFUNCTION("GOOGLEFINANCE($A40,AB$3)"),26.12)</f>
        <v>26.12</v>
      </c>
      <c r="AC40" s="65">
        <f>IFERROR(__xludf.DUMMYFUNCTION("GOOGLEFINANCE($A40,AC$3)"),0.0)</f>
        <v>0</v>
      </c>
      <c r="AD40" s="65">
        <f>IFERROR(__xludf.DUMMYFUNCTION("GOOGLEFINANCE($A40,AD$3)"),3.41440214375E11)</f>
        <v>341440214375</v>
      </c>
      <c r="AE40" s="65">
        <f>IFERROR(__xludf.DUMMYFUNCTION("GOOGLEFINANCE($A40,AE$3)"),78.68)</f>
        <v>78.68</v>
      </c>
      <c r="AF40" s="17"/>
      <c r="AG40" s="17"/>
      <c r="AH40" s="17"/>
      <c r="AI40" s="17"/>
      <c r="AJ40" s="17"/>
      <c r="AK40" s="17"/>
    </row>
    <row r="41">
      <c r="A41" s="84" t="str">
        <f>'Virtual Portfolio'!A44</f>
        <v>DIS</v>
      </c>
      <c r="B41" s="85" t="str">
        <f>IFERROR(__xludf.DUMMYFUNCTION("GOOGLEFINANCE(A41,""name"")"),"Walt Disney Co")</f>
        <v>Walt Disney Co</v>
      </c>
      <c r="C41" s="86" t="str">
        <f>'Virtual Portfolio'!C44</f>
        <v/>
      </c>
      <c r="D41" s="71">
        <f>IFERROR(__xludf.DUMMYFUNCTION("GOOGLEFINANCE(A41)"),105.69)</f>
        <v>105.69</v>
      </c>
      <c r="E41" s="86"/>
      <c r="F41" s="86"/>
      <c r="G41" s="86"/>
      <c r="H41" s="73"/>
      <c r="I41" s="73"/>
      <c r="J41" s="87"/>
      <c r="K41" s="55" t="str">
        <f t="shared" si="7"/>
        <v>#DIV/0!</v>
      </c>
      <c r="L41" s="56" t="str">
        <f>IFERROR(__xludf.DUMMYFUNCTION("SPARKLINE(GoogleFinance(A41, ""price"", TODAY()-30, TODAY()),{""color"",""blue"";""linewidth"",2})        "),"")</f>
        <v/>
      </c>
      <c r="M41" s="17" t="str">
        <f>IFERROR(__xludf.DUMMYFUNCTION("GOOGLEFINANCE(A41,""currency"")"),"USD")</f>
        <v>USD</v>
      </c>
      <c r="N41" s="57">
        <f t="shared" si="8"/>
        <v>0.0023</v>
      </c>
      <c r="O41" s="58">
        <f>IFERROR(__xludf.DUMMYFUNCTION("GOOGLEFINANCE(A41,""Change"")"),0.24)</f>
        <v>0.24</v>
      </c>
      <c r="P41" s="59">
        <f>IFERROR(__xludf.DUMMYFUNCTION("GOOGLEFINANCE(A41,""High"")"),107.28)</f>
        <v>107.28</v>
      </c>
      <c r="Q41" s="59">
        <f>IFERROR(__xludf.DUMMYFUNCTION("GOOGLEFINANCE(A41,""low"")"),104.37)</f>
        <v>104.37</v>
      </c>
      <c r="R41" s="57">
        <f>IFERROR(__xludf.DUMMYFUNCTION("abs(P41-Q41)/GOOGLEFINANCE(A41,""closeyest"")"),0.02759601706970125)</f>
        <v>0.02759601707</v>
      </c>
      <c r="S41" s="60">
        <f t="shared" si="9"/>
        <v>0.3194756554</v>
      </c>
      <c r="T41" s="61">
        <f>'Virtual Portfolio'!T44</f>
        <v>100</v>
      </c>
      <c r="U41" s="61" t="str">
        <f>'Virtual Portfolio'!U44</f>
        <v/>
      </c>
      <c r="V41" s="63"/>
      <c r="W41" s="64" t="str">
        <f t="shared" si="10"/>
        <v/>
      </c>
      <c r="X41" s="65">
        <f>IFERROR(__xludf.DUMMYFUNCTION("GOOGLEFINANCE($A41,X$3)"),1.43)</f>
        <v>1.43</v>
      </c>
      <c r="Y41" s="65">
        <f>IFERROR(__xludf.DUMMYFUNCTION("GOOGLEFINANCE($A41,Y$3)"),80.1)</f>
        <v>80.1</v>
      </c>
      <c r="Z41" s="65">
        <f>IFERROR(__xludf.DUMMYFUNCTION("GOOGLEFINANCE($A41,Z$3)"),124.69)</f>
        <v>124.69</v>
      </c>
      <c r="AA41" s="65" t="str">
        <f>IFERROR(__xludf.DUMMYFUNCTION("GOOGLEFINANCE($A41,AA$3)"),"#N/A")</f>
        <v>#N/A</v>
      </c>
      <c r="AB41" s="65">
        <f>IFERROR(__xludf.DUMMYFUNCTION("GOOGLEFINANCE($A41,AB$3)"),15.57)</f>
        <v>15.57</v>
      </c>
      <c r="AC41" s="65">
        <f>IFERROR(__xludf.DUMMYFUNCTION("GOOGLEFINANCE($A41,AC$3)"),0.0)</f>
        <v>0</v>
      </c>
      <c r="AD41" s="65">
        <f>IFERROR(__xludf.DUMMYFUNCTION("GOOGLEFINANCE($A41,AD$3)"),1.87231953125E11)</f>
        <v>187231953125</v>
      </c>
      <c r="AE41" s="65">
        <f>IFERROR(__xludf.DUMMYFUNCTION("GOOGLEFINANCE($A41,AE$3)"),105.45)</f>
        <v>105.45</v>
      </c>
      <c r="AF41" s="17"/>
      <c r="AG41" s="17"/>
      <c r="AH41" s="17"/>
      <c r="AI41" s="17"/>
      <c r="AJ41" s="17"/>
      <c r="AK41" s="17"/>
    </row>
    <row r="42">
      <c r="A42" s="84" t="str">
        <f>'Virtual Portfolio'!A45</f>
        <v>NKE</v>
      </c>
      <c r="B42" s="85" t="str">
        <f>IFERROR(__xludf.DUMMYFUNCTION("GOOGLEFINANCE(A42,""name"")"),"Nike Inc")</f>
        <v>Nike Inc</v>
      </c>
      <c r="C42" s="86" t="str">
        <f>'Virtual Portfolio'!C45</f>
        <v/>
      </c>
      <c r="D42" s="71">
        <f>IFERROR(__xludf.DUMMYFUNCTION("GOOGLEFINANCE(A42)"),64.37)</f>
        <v>64.37</v>
      </c>
      <c r="E42" s="86"/>
      <c r="F42" s="88"/>
      <c r="G42" s="88"/>
      <c r="H42" s="73"/>
      <c r="I42" s="73"/>
      <c r="J42" s="87"/>
      <c r="K42" s="55" t="str">
        <f t="shared" si="7"/>
        <v>#DIV/0!</v>
      </c>
      <c r="L42" s="56" t="str">
        <f>IFERROR(__xludf.DUMMYFUNCTION("SPARKLINE(GoogleFinance(A42, ""price"", TODAY()-30, TODAY()),{""color"",""blue"";""linewidth"",2})        "),"")</f>
        <v/>
      </c>
      <c r="M42" s="17" t="str">
        <f>IFERROR(__xludf.DUMMYFUNCTION("GOOGLEFINANCE(A42,""currency"")"),"USD")</f>
        <v>USD</v>
      </c>
      <c r="N42" s="57">
        <f t="shared" si="8"/>
        <v>0.0196</v>
      </c>
      <c r="O42" s="58">
        <f>IFERROR(__xludf.DUMMYFUNCTION("GOOGLEFINANCE(A42,""Change"")"),1.24)</f>
        <v>1.24</v>
      </c>
      <c r="P42" s="59">
        <f>IFERROR(__xludf.DUMMYFUNCTION("GOOGLEFINANCE(A42,""High"")"),64.38)</f>
        <v>64.38</v>
      </c>
      <c r="Q42" s="59">
        <f>IFERROR(__xludf.DUMMYFUNCTION("GOOGLEFINANCE(A42,""low"")"),62.94)</f>
        <v>62.94</v>
      </c>
      <c r="R42" s="57">
        <f>IFERROR(__xludf.DUMMYFUNCTION("abs(P42-Q42)/GOOGLEFINANCE(A42,""closeyest"")"),0.022810074449548513)</f>
        <v>0.02281007445</v>
      </c>
      <c r="S42" s="60">
        <f t="shared" si="9"/>
        <v>0.2312547819</v>
      </c>
      <c r="T42" s="61">
        <f>'Virtual Portfolio'!T45</f>
        <v>70</v>
      </c>
      <c r="U42" s="61" t="str">
        <f>'Virtual Portfolio'!U45</f>
        <v/>
      </c>
      <c r="V42" s="63"/>
      <c r="W42" s="64" t="str">
        <f t="shared" si="10"/>
        <v>TRADE ALERT - Price level hit for NKE currently at 64.37 Nike Inc</v>
      </c>
      <c r="X42" s="65">
        <f>IFERROR(__xludf.DUMMYFUNCTION("GOOGLEFINANCE($A42,X$3)"),1.27)</f>
        <v>1.27</v>
      </c>
      <c r="Y42" s="65">
        <f>IFERROR(__xludf.DUMMYFUNCTION("GOOGLEFINANCE($A42,Y$3)"),52.28)</f>
        <v>52.28</v>
      </c>
      <c r="Z42" s="65">
        <f>IFERROR(__xludf.DUMMYFUNCTION("GOOGLEFINANCE($A42,Z$3)"),82.44)</f>
        <v>82.44</v>
      </c>
      <c r="AA42" s="65" t="str">
        <f>IFERROR(__xludf.DUMMYFUNCTION("GOOGLEFINANCE($A42,AA$3)"),"#N/A")</f>
        <v>#N/A</v>
      </c>
      <c r="AB42" s="65">
        <f>IFERROR(__xludf.DUMMYFUNCTION("GOOGLEFINANCE($A42,AB$3)"),37.77)</f>
        <v>37.77</v>
      </c>
      <c r="AC42" s="65">
        <f>IFERROR(__xludf.DUMMYFUNCTION("GOOGLEFINANCE($A42,AC$3)"),0.0)</f>
        <v>0</v>
      </c>
      <c r="AD42" s="65">
        <f>IFERROR(__xludf.DUMMYFUNCTION("GOOGLEFINANCE($A42,AD$3)"),9.5292257775E10)</f>
        <v>95292257775</v>
      </c>
      <c r="AE42" s="65">
        <f>IFERROR(__xludf.DUMMYFUNCTION("GOOGLEFINANCE($A42,AE$3)"),63.13)</f>
        <v>63.13</v>
      </c>
      <c r="AF42" s="17"/>
      <c r="AG42" s="17"/>
      <c r="AH42" s="17"/>
      <c r="AI42" s="17"/>
      <c r="AJ42" s="17"/>
      <c r="AK42" s="17"/>
    </row>
    <row r="43">
      <c r="A43" s="84" t="str">
        <f>'Virtual Portfolio'!A46</f>
        <v>PEP</v>
      </c>
      <c r="B43" s="85" t="str">
        <f>IFERROR(__xludf.DUMMYFUNCTION("GOOGLEFINANCE(A43,""name"")"),"PepsiCo Inc")</f>
        <v>PepsiCo Inc</v>
      </c>
      <c r="C43" s="86" t="str">
        <f>'Virtual Portfolio'!C46</f>
        <v/>
      </c>
      <c r="D43" s="71">
        <f>IFERROR(__xludf.DUMMYFUNCTION("GOOGLEFINANCE(A43)"),161.45)</f>
        <v>161.45</v>
      </c>
      <c r="E43" s="86"/>
      <c r="F43" s="86"/>
      <c r="G43" s="86"/>
      <c r="H43" s="73"/>
      <c r="I43" s="73"/>
      <c r="J43" s="87"/>
      <c r="K43" s="55" t="str">
        <f t="shared" si="7"/>
        <v>#DIV/0!</v>
      </c>
      <c r="L43" s="56" t="str">
        <f>IFERROR(__xludf.DUMMYFUNCTION("SPARKLINE(GoogleFinance(A43, ""price"", TODAY()-30, TODAY()),{""color"",""blue"";""linewidth"",2})        "),"")</f>
        <v/>
      </c>
      <c r="M43" s="17" t="str">
        <f>IFERROR(__xludf.DUMMYFUNCTION("GOOGLEFINANCE(A43,""currency"")"),"USD")</f>
        <v>USD</v>
      </c>
      <c r="N43" s="57">
        <f t="shared" si="8"/>
        <v>-0.0271</v>
      </c>
      <c r="O43" s="58">
        <f>IFERROR(__xludf.DUMMYFUNCTION("GOOGLEFINANCE(A43,""Change"")"),-4.49)</f>
        <v>-4.49</v>
      </c>
      <c r="P43" s="59">
        <f>IFERROR(__xludf.DUMMYFUNCTION("GOOGLEFINANCE(A43,""High"")"),167.54)</f>
        <v>167.54</v>
      </c>
      <c r="Q43" s="59">
        <f>IFERROR(__xludf.DUMMYFUNCTION("GOOGLEFINANCE(A43,""low"")"),160.81)</f>
        <v>160.81</v>
      </c>
      <c r="R43" s="57">
        <f>IFERROR(__xludf.DUMMYFUNCTION("abs(P43-Q43)/GOOGLEFINANCE(A43,""closeyest"")"),0.0405568277690731)</f>
        <v>0.04055682777</v>
      </c>
      <c r="S43" s="60">
        <f t="shared" si="9"/>
        <v>0.2652821317</v>
      </c>
      <c r="T43" s="61">
        <v>110.0</v>
      </c>
      <c r="U43" s="61"/>
      <c r="V43" s="63"/>
      <c r="W43" s="64" t="str">
        <f t="shared" si="10"/>
        <v/>
      </c>
      <c r="X43" s="65">
        <f>IFERROR(__xludf.DUMMYFUNCTION("GOOGLEFINANCE($A43,X$3)"),0.4)</f>
        <v>0.4</v>
      </c>
      <c r="Y43" s="65">
        <f>IFERROR(__xludf.DUMMYFUNCTION("GOOGLEFINANCE($A43,Y$3)"),127.6)</f>
        <v>127.6</v>
      </c>
      <c r="Z43" s="65">
        <f>IFERROR(__xludf.DUMMYFUNCTION("GOOGLEFINANCE($A43,Z$3)"),171.48)</f>
        <v>171.48</v>
      </c>
      <c r="AA43" s="65" t="str">
        <f>IFERROR(__xludf.DUMMYFUNCTION("GOOGLEFINANCE($A43,AA$3)"),"#N/A")</f>
        <v>#N/A</v>
      </c>
      <c r="AB43" s="65">
        <f>IFERROR(__xludf.DUMMYFUNCTION("GOOGLEFINANCE($A43,AB$3)"),26.9)</f>
        <v>26.9</v>
      </c>
      <c r="AC43" s="65">
        <f>IFERROR(__xludf.DUMMYFUNCTION("GOOGLEFINANCE($A43,AC$3)"),0.0)</f>
        <v>0</v>
      </c>
      <c r="AD43" s="65">
        <f>IFERROR(__xludf.DUMMYFUNCTION("GOOGLEFINANCE($A43,AD$3)"),2.20590820094E11)</f>
        <v>220590820094</v>
      </c>
      <c r="AE43" s="65">
        <f>IFERROR(__xludf.DUMMYFUNCTION("GOOGLEFINANCE($A43,AE$3)"),165.94)</f>
        <v>165.94</v>
      </c>
      <c r="AF43" s="17"/>
      <c r="AG43" s="17"/>
      <c r="AH43" s="17"/>
      <c r="AI43" s="17"/>
      <c r="AJ43" s="17"/>
      <c r="AK43" s="17"/>
    </row>
    <row r="44">
      <c r="A44" s="84" t="str">
        <f>'Virtual Portfolio'!A47</f>
        <v/>
      </c>
      <c r="B44" s="85" t="str">
        <f>IFERROR(__xludf.DUMMYFUNCTION("GOOGLEFINANCE(A44,""name"")"),"#N/A")</f>
        <v>#N/A</v>
      </c>
      <c r="C44" s="86" t="str">
        <f>'Virtual Portfolio'!C47</f>
        <v/>
      </c>
      <c r="D44" s="71" t="str">
        <f>IFERROR(__xludf.DUMMYFUNCTION("GOOGLEFINANCE(A44)"),"#N/A")</f>
        <v>#N/A</v>
      </c>
      <c r="E44" s="86"/>
      <c r="F44" s="86"/>
      <c r="G44" s="86"/>
      <c r="H44" s="73"/>
      <c r="I44" s="73"/>
      <c r="J44" s="87"/>
      <c r="K44" s="55" t="str">
        <f t="shared" si="7"/>
        <v>#N/A</v>
      </c>
      <c r="L44" s="56" t="str">
        <f>IFERROR(__xludf.DUMMYFUNCTION("SPARKLINE(GoogleFinance(A44, ""price"", TODAY()-30, TODAY()),{""color"",""blue"";""linewidth"",2})        "),"#N/A")</f>
        <v>#N/A</v>
      </c>
      <c r="M44" s="17" t="str">
        <f>IFERROR(__xludf.DUMMYFUNCTION("GOOGLEFINANCE(A44,""currency"")"),"#N/A")</f>
        <v>#N/A</v>
      </c>
      <c r="N44" s="57" t="str">
        <f t="shared" si="8"/>
        <v>#N/A</v>
      </c>
      <c r="O44" s="58" t="str">
        <f>IFERROR(__xludf.DUMMYFUNCTION("GOOGLEFINANCE(A44,""Change"")"),"#N/A")</f>
        <v>#N/A</v>
      </c>
      <c r="P44" s="59" t="str">
        <f>IFERROR(__xludf.DUMMYFUNCTION("GOOGLEFINANCE(A44,""High"")"),"#N/A")</f>
        <v>#N/A</v>
      </c>
      <c r="Q44" s="59" t="str">
        <f>IFERROR(__xludf.DUMMYFUNCTION("GOOGLEFINANCE(A44,""low"")"),"#N/A")</f>
        <v>#N/A</v>
      </c>
      <c r="R44" s="57" t="str">
        <f>IFERROR(__xludf.DUMMYFUNCTION("abs(P44-Q44)/GOOGLEFINANCE(A44,""closeyest"")"),"#N/A")</f>
        <v>#N/A</v>
      </c>
      <c r="S44" s="60" t="str">
        <f t="shared" si="9"/>
        <v>#N/A</v>
      </c>
      <c r="T44" s="61" t="str">
        <f>'Virtual Portfolio'!T47</f>
        <v/>
      </c>
      <c r="U44" s="61" t="str">
        <f>'Virtual Portfolio'!U47</f>
        <v/>
      </c>
      <c r="V44" s="63"/>
      <c r="W44" s="64" t="str">
        <f t="shared" si="10"/>
        <v>DATA UNAVAILABLE</v>
      </c>
      <c r="X44" s="65" t="str">
        <f>IFERROR(__xludf.DUMMYFUNCTION("GOOGLEFINANCE($A44,X$3)"),"#N/A")</f>
        <v>#N/A</v>
      </c>
      <c r="Y44" s="65" t="str">
        <f>IFERROR(__xludf.DUMMYFUNCTION("GOOGLEFINANCE($A44,Y$3)"),"#N/A")</f>
        <v>#N/A</v>
      </c>
      <c r="Z44" s="65" t="str">
        <f>IFERROR(__xludf.DUMMYFUNCTION("GOOGLEFINANCE($A44,Z$3)"),"#N/A")</f>
        <v>#N/A</v>
      </c>
      <c r="AA44" s="65" t="str">
        <f>IFERROR(__xludf.DUMMYFUNCTION("GOOGLEFINANCE($A44,AA$3)"),"#N/A")</f>
        <v>#N/A</v>
      </c>
      <c r="AB44" s="65" t="str">
        <f>IFERROR(__xludf.DUMMYFUNCTION("GOOGLEFINANCE($A44,AB$3)"),"#N/A")</f>
        <v>#N/A</v>
      </c>
      <c r="AC44" s="65" t="str">
        <f>IFERROR(__xludf.DUMMYFUNCTION("GOOGLEFINANCE($A44,AC$3)"),"#N/A")</f>
        <v>#N/A</v>
      </c>
      <c r="AD44" s="65" t="str">
        <f>IFERROR(__xludf.DUMMYFUNCTION("GOOGLEFINANCE($A44,AD$3)"),"#N/A")</f>
        <v>#N/A</v>
      </c>
      <c r="AE44" s="65" t="str">
        <f>IFERROR(__xludf.DUMMYFUNCTION("GOOGLEFINANCE($A44,AE$3)"),"#N/A")</f>
        <v>#N/A</v>
      </c>
      <c r="AF44" s="17"/>
      <c r="AG44" s="17"/>
      <c r="AH44" s="17"/>
      <c r="AI44" s="17"/>
      <c r="AJ44" s="17"/>
      <c r="AK44" s="17"/>
    </row>
    <row r="45">
      <c r="A45" s="84" t="str">
        <f>'Virtual Portfolio'!A48</f>
        <v/>
      </c>
      <c r="B45" s="85" t="str">
        <f>IFERROR(__xludf.DUMMYFUNCTION("GOOGLEFINANCE(A45,""name"")"),"#N/A")</f>
        <v>#N/A</v>
      </c>
      <c r="C45" s="86" t="str">
        <f>'Virtual Portfolio'!C48</f>
        <v/>
      </c>
      <c r="D45" s="71" t="str">
        <f>IFERROR(__xludf.DUMMYFUNCTION("GOOGLEFINANCE(A45)"),"#N/A")</f>
        <v>#N/A</v>
      </c>
      <c r="E45" s="86"/>
      <c r="F45" s="86"/>
      <c r="G45" s="86"/>
      <c r="H45" s="73"/>
      <c r="I45" s="73"/>
      <c r="J45" s="87"/>
      <c r="K45" s="55" t="str">
        <f t="shared" si="7"/>
        <v>#N/A</v>
      </c>
      <c r="L45" s="56" t="str">
        <f>IFERROR(__xludf.DUMMYFUNCTION("SPARKLINE(GoogleFinance(A45, ""price"", TODAY()-30, TODAY()),{""color"",""blue"";""linewidth"",2})        "),"#N/A")</f>
        <v>#N/A</v>
      </c>
      <c r="M45" s="17" t="str">
        <f>IFERROR(__xludf.DUMMYFUNCTION("GOOGLEFINANCE(A45,""currency"")"),"#N/A")</f>
        <v>#N/A</v>
      </c>
      <c r="N45" s="57" t="str">
        <f t="shared" si="8"/>
        <v>#N/A</v>
      </c>
      <c r="O45" s="58" t="str">
        <f>IFERROR(__xludf.DUMMYFUNCTION("GOOGLEFINANCE(A45,""Change"")"),"#N/A")</f>
        <v>#N/A</v>
      </c>
      <c r="P45" s="59" t="str">
        <f>IFERROR(__xludf.DUMMYFUNCTION("GOOGLEFINANCE(A45,""High"")"),"#N/A")</f>
        <v>#N/A</v>
      </c>
      <c r="Q45" s="59" t="str">
        <f>IFERROR(__xludf.DUMMYFUNCTION("GOOGLEFINANCE(A45,""low"")"),"#N/A")</f>
        <v>#N/A</v>
      </c>
      <c r="R45" s="57" t="str">
        <f>IFERROR(__xludf.DUMMYFUNCTION("abs(P45-Q45)/GOOGLEFINANCE(A45,""closeyest"")"),"#N/A")</f>
        <v>#N/A</v>
      </c>
      <c r="S45" s="60" t="str">
        <f t="shared" si="9"/>
        <v>#N/A</v>
      </c>
      <c r="T45" s="61" t="str">
        <f>'Virtual Portfolio'!T48</f>
        <v/>
      </c>
      <c r="U45" s="61" t="str">
        <f>'Virtual Portfolio'!U48</f>
        <v/>
      </c>
      <c r="V45" s="63"/>
      <c r="W45" s="64" t="str">
        <f t="shared" si="10"/>
        <v>DATA UNAVAILABLE</v>
      </c>
      <c r="X45" s="65" t="str">
        <f>IFERROR(__xludf.DUMMYFUNCTION("GOOGLEFINANCE($A45,X$3)"),"#N/A")</f>
        <v>#N/A</v>
      </c>
      <c r="Y45" s="65" t="str">
        <f>IFERROR(__xludf.DUMMYFUNCTION("GOOGLEFINANCE($A45,Y$3)"),"#N/A")</f>
        <v>#N/A</v>
      </c>
      <c r="Z45" s="65" t="str">
        <f>IFERROR(__xludf.DUMMYFUNCTION("GOOGLEFINANCE($A45,Z$3)"),"#N/A")</f>
        <v>#N/A</v>
      </c>
      <c r="AA45" s="65" t="str">
        <f>IFERROR(__xludf.DUMMYFUNCTION("GOOGLEFINANCE($A45,AA$3)"),"#N/A")</f>
        <v>#N/A</v>
      </c>
      <c r="AB45" s="65" t="str">
        <f>IFERROR(__xludf.DUMMYFUNCTION("GOOGLEFINANCE($A45,AB$3)"),"#N/A")</f>
        <v>#N/A</v>
      </c>
      <c r="AC45" s="65" t="str">
        <f>IFERROR(__xludf.DUMMYFUNCTION("GOOGLEFINANCE($A45,AC$3)"),"#N/A")</f>
        <v>#N/A</v>
      </c>
      <c r="AD45" s="65" t="str">
        <f>IFERROR(__xludf.DUMMYFUNCTION("GOOGLEFINANCE($A45,AD$3)"),"#N/A")</f>
        <v>#N/A</v>
      </c>
      <c r="AE45" s="65" t="str">
        <f>IFERROR(__xludf.DUMMYFUNCTION("GOOGLEFINANCE($A45,AE$3)"),"#N/A")</f>
        <v>#N/A</v>
      </c>
      <c r="AF45" s="17"/>
      <c r="AG45" s="17"/>
      <c r="AH45" s="17"/>
      <c r="AI45" s="17"/>
      <c r="AJ45" s="17"/>
      <c r="AK45" s="17"/>
    </row>
    <row r="46">
      <c r="A46" s="84" t="str">
        <f>'Virtual Portfolio'!A49</f>
        <v/>
      </c>
      <c r="B46" s="85" t="str">
        <f>IFERROR(__xludf.DUMMYFUNCTION("GOOGLEFINANCE(A46,""name"")"),"#N/A")</f>
        <v>#N/A</v>
      </c>
      <c r="C46" s="86" t="str">
        <f>'Virtual Portfolio'!C49</f>
        <v/>
      </c>
      <c r="D46" s="71" t="str">
        <f>IFERROR(__xludf.DUMMYFUNCTION("GOOGLEFINANCE(A46)"),"#N/A")</f>
        <v>#N/A</v>
      </c>
      <c r="E46" s="86"/>
      <c r="F46" s="86"/>
      <c r="G46" s="86"/>
      <c r="H46" s="73"/>
      <c r="I46" s="73"/>
      <c r="J46" s="87"/>
      <c r="K46" s="55" t="str">
        <f t="shared" si="7"/>
        <v>#N/A</v>
      </c>
      <c r="L46" s="56" t="str">
        <f>IFERROR(__xludf.DUMMYFUNCTION("SPARKLINE(GoogleFinance(A46, ""price"", TODAY()-30, TODAY()),{""color"",""blue"";""linewidth"",2})        "),"#N/A")</f>
        <v>#N/A</v>
      </c>
      <c r="M46" s="17" t="str">
        <f>IFERROR(__xludf.DUMMYFUNCTION("GOOGLEFINANCE(A46,""currency"")"),"#N/A")</f>
        <v>#N/A</v>
      </c>
      <c r="N46" s="57" t="str">
        <f t="shared" si="8"/>
        <v>#N/A</v>
      </c>
      <c r="O46" s="58" t="str">
        <f>IFERROR(__xludf.DUMMYFUNCTION("GOOGLEFINANCE(A46,""Change"")"),"#N/A")</f>
        <v>#N/A</v>
      </c>
      <c r="P46" s="59" t="str">
        <f>IFERROR(__xludf.DUMMYFUNCTION("GOOGLEFINANCE(A46,""High"")"),"#N/A")</f>
        <v>#N/A</v>
      </c>
      <c r="Q46" s="59" t="str">
        <f>IFERROR(__xludf.DUMMYFUNCTION("GOOGLEFINANCE(A46,""low"")"),"#N/A")</f>
        <v>#N/A</v>
      </c>
      <c r="R46" s="57" t="str">
        <f>IFERROR(__xludf.DUMMYFUNCTION("abs(P46-Q46)/GOOGLEFINANCE(A46,""closeyest"")"),"#N/A")</f>
        <v>#N/A</v>
      </c>
      <c r="S46" s="60" t="str">
        <f t="shared" si="9"/>
        <v>#N/A</v>
      </c>
      <c r="T46" s="61" t="str">
        <f>'Virtual Portfolio'!T49</f>
        <v/>
      </c>
      <c r="U46" s="61" t="str">
        <f>'Virtual Portfolio'!U49</f>
        <v/>
      </c>
      <c r="V46" s="63"/>
      <c r="W46" s="64" t="str">
        <f t="shared" si="10"/>
        <v>DATA UNAVAILABLE</v>
      </c>
      <c r="X46" s="65" t="str">
        <f>IFERROR(__xludf.DUMMYFUNCTION("GOOGLEFINANCE($A46,X$3)"),"#N/A")</f>
        <v>#N/A</v>
      </c>
      <c r="Y46" s="65" t="str">
        <f>IFERROR(__xludf.DUMMYFUNCTION("GOOGLEFINANCE($A46,Y$3)"),"#N/A")</f>
        <v>#N/A</v>
      </c>
      <c r="Z46" s="65" t="str">
        <f>IFERROR(__xludf.DUMMYFUNCTION("GOOGLEFINANCE($A46,Z$3)"),"#N/A")</f>
        <v>#N/A</v>
      </c>
      <c r="AA46" s="65" t="str">
        <f>IFERROR(__xludf.DUMMYFUNCTION("GOOGLEFINANCE($A46,AA$3)"),"#N/A")</f>
        <v>#N/A</v>
      </c>
      <c r="AB46" s="65" t="str">
        <f>IFERROR(__xludf.DUMMYFUNCTION("GOOGLEFINANCE($A46,AB$3)"),"#N/A")</f>
        <v>#N/A</v>
      </c>
      <c r="AC46" s="65" t="str">
        <f>IFERROR(__xludf.DUMMYFUNCTION("GOOGLEFINANCE($A46,AC$3)"),"#N/A")</f>
        <v>#N/A</v>
      </c>
      <c r="AD46" s="65" t="str">
        <f>IFERROR(__xludf.DUMMYFUNCTION("GOOGLEFINANCE($A46,AD$3)"),"#N/A")</f>
        <v>#N/A</v>
      </c>
      <c r="AE46" s="65" t="str">
        <f>IFERROR(__xludf.DUMMYFUNCTION("GOOGLEFINANCE($A46,AE$3)"),"#N/A")</f>
        <v>#N/A</v>
      </c>
      <c r="AF46" s="17"/>
      <c r="AG46" s="17"/>
      <c r="AH46" s="17"/>
      <c r="AI46" s="17"/>
      <c r="AJ46" s="17"/>
      <c r="AK46" s="17"/>
    </row>
    <row r="47">
      <c r="A47" s="84" t="str">
        <f>'Virtual Portfolio'!A50</f>
        <v/>
      </c>
      <c r="B47" s="85" t="str">
        <f>IFERROR(__xludf.DUMMYFUNCTION("GOOGLEFINANCE(A47,""name"")"),"#N/A")</f>
        <v>#N/A</v>
      </c>
      <c r="C47" s="86" t="str">
        <f>'Virtual Portfolio'!C50</f>
        <v/>
      </c>
      <c r="D47" s="71" t="str">
        <f>IFERROR(__xludf.DUMMYFUNCTION("GOOGLEFINANCE(A47)"),"#N/A")</f>
        <v>#N/A</v>
      </c>
      <c r="E47" s="86"/>
      <c r="F47" s="86"/>
      <c r="G47" s="86"/>
      <c r="H47" s="73"/>
      <c r="I47" s="73"/>
      <c r="J47" s="87"/>
      <c r="K47" s="55" t="str">
        <f t="shared" si="7"/>
        <v>#N/A</v>
      </c>
      <c r="L47" s="56" t="str">
        <f>IFERROR(__xludf.DUMMYFUNCTION("SPARKLINE(GoogleFinance(A47, ""price"", TODAY()-30, TODAY()),{""color"",""blue"";""linewidth"",2})        "),"#N/A")</f>
        <v>#N/A</v>
      </c>
      <c r="M47" s="17" t="str">
        <f>IFERROR(__xludf.DUMMYFUNCTION("GOOGLEFINANCE(A47,""currency"")"),"#N/A")</f>
        <v>#N/A</v>
      </c>
      <c r="N47" s="57" t="str">
        <f t="shared" si="8"/>
        <v>#N/A</v>
      </c>
      <c r="O47" s="58" t="str">
        <f>IFERROR(__xludf.DUMMYFUNCTION("GOOGLEFINANCE(A47,""Change"")"),"#N/A")</f>
        <v>#N/A</v>
      </c>
      <c r="P47" s="59" t="str">
        <f>IFERROR(__xludf.DUMMYFUNCTION("GOOGLEFINANCE(A47,""High"")"),"#N/A")</f>
        <v>#N/A</v>
      </c>
      <c r="Q47" s="59" t="str">
        <f>IFERROR(__xludf.DUMMYFUNCTION("GOOGLEFINANCE(A47,""low"")"),"#N/A")</f>
        <v>#N/A</v>
      </c>
      <c r="R47" s="57" t="str">
        <f>IFERROR(__xludf.DUMMYFUNCTION("abs(P47-Q47)/GOOGLEFINANCE(A47,""closeyest"")"),"#N/A")</f>
        <v>#N/A</v>
      </c>
      <c r="S47" s="60" t="str">
        <f t="shared" si="9"/>
        <v>#N/A</v>
      </c>
      <c r="T47" s="61" t="str">
        <f>'Virtual Portfolio'!T50</f>
        <v/>
      </c>
      <c r="U47" s="61" t="str">
        <f>'Virtual Portfolio'!U50</f>
        <v/>
      </c>
      <c r="V47" s="63"/>
      <c r="W47" s="64" t="str">
        <f t="shared" si="10"/>
        <v>DATA UNAVAILABLE</v>
      </c>
      <c r="X47" s="65" t="str">
        <f>IFERROR(__xludf.DUMMYFUNCTION("GOOGLEFINANCE($A47,X$3)"),"#N/A")</f>
        <v>#N/A</v>
      </c>
      <c r="Y47" s="65" t="str">
        <f>IFERROR(__xludf.DUMMYFUNCTION("GOOGLEFINANCE($A47,Y$3)"),"#N/A")</f>
        <v>#N/A</v>
      </c>
      <c r="Z47" s="65" t="str">
        <f>IFERROR(__xludf.DUMMYFUNCTION("GOOGLEFINANCE($A47,Z$3)"),"#N/A")</f>
        <v>#N/A</v>
      </c>
      <c r="AA47" s="65" t="str">
        <f>IFERROR(__xludf.DUMMYFUNCTION("GOOGLEFINANCE($A47,AA$3)"),"#N/A")</f>
        <v>#N/A</v>
      </c>
      <c r="AB47" s="65" t="str">
        <f>IFERROR(__xludf.DUMMYFUNCTION("GOOGLEFINANCE($A47,AB$3)"),"#N/A")</f>
        <v>#N/A</v>
      </c>
      <c r="AC47" s="65" t="str">
        <f>IFERROR(__xludf.DUMMYFUNCTION("GOOGLEFINANCE($A47,AC$3)"),"#N/A")</f>
        <v>#N/A</v>
      </c>
      <c r="AD47" s="65" t="str">
        <f>IFERROR(__xludf.DUMMYFUNCTION("GOOGLEFINANCE($A47,AD$3)"),"#N/A")</f>
        <v>#N/A</v>
      </c>
      <c r="AE47" s="65" t="str">
        <f>IFERROR(__xludf.DUMMYFUNCTION("GOOGLEFINANCE($A47,AE$3)"),"#N/A")</f>
        <v>#N/A</v>
      </c>
      <c r="AF47" s="17"/>
      <c r="AG47" s="17"/>
      <c r="AH47" s="17"/>
      <c r="AI47" s="17"/>
      <c r="AJ47" s="17"/>
      <c r="AK47" s="17"/>
    </row>
    <row r="48">
      <c r="A48" s="84" t="str">
        <f>'Virtual Portfolio'!A51</f>
        <v/>
      </c>
      <c r="B48" s="85" t="str">
        <f>IFERROR(__xludf.DUMMYFUNCTION("GOOGLEFINANCE(A48,""name"")"),"#N/A")</f>
        <v>#N/A</v>
      </c>
      <c r="C48" s="86" t="str">
        <f>'Virtual Portfolio'!C51</f>
        <v/>
      </c>
      <c r="D48" s="71" t="str">
        <f>IFERROR(__xludf.DUMMYFUNCTION("GOOGLEFINANCE(A48)"),"#N/A")</f>
        <v>#N/A</v>
      </c>
      <c r="E48" s="86"/>
      <c r="F48" s="86"/>
      <c r="G48" s="86"/>
      <c r="H48" s="73"/>
      <c r="I48" s="73"/>
      <c r="J48" s="87"/>
      <c r="K48" s="55" t="str">
        <f t="shared" si="7"/>
        <v>#N/A</v>
      </c>
      <c r="L48" s="56" t="str">
        <f>IFERROR(__xludf.DUMMYFUNCTION("SPARKLINE(GoogleFinance(A48, ""price"", TODAY()-30, TODAY()),{""color"",""blue"";""linewidth"",2})        "),"#N/A")</f>
        <v>#N/A</v>
      </c>
      <c r="M48" s="17" t="str">
        <f>IFERROR(__xludf.DUMMYFUNCTION("GOOGLEFINANCE(A48,""currency"")"),"#N/A")</f>
        <v>#N/A</v>
      </c>
      <c r="N48" s="57" t="str">
        <f t="shared" si="8"/>
        <v>#N/A</v>
      </c>
      <c r="O48" s="58" t="str">
        <f>IFERROR(__xludf.DUMMYFUNCTION("GOOGLEFINANCE(A48,""Change"")"),"#N/A")</f>
        <v>#N/A</v>
      </c>
      <c r="P48" s="59" t="str">
        <f>IFERROR(__xludf.DUMMYFUNCTION("GOOGLEFINANCE(A48,""High"")"),"#N/A")</f>
        <v>#N/A</v>
      </c>
      <c r="Q48" s="59" t="str">
        <f>IFERROR(__xludf.DUMMYFUNCTION("GOOGLEFINANCE(A48,""low"")"),"#N/A")</f>
        <v>#N/A</v>
      </c>
      <c r="R48" s="57" t="str">
        <f>IFERROR(__xludf.DUMMYFUNCTION("abs(P48-Q48)/GOOGLEFINANCE(A48,""closeyest"")"),"#N/A")</f>
        <v>#N/A</v>
      </c>
      <c r="S48" s="60" t="str">
        <f t="shared" si="9"/>
        <v>#N/A</v>
      </c>
      <c r="T48" s="61" t="str">
        <f>'Virtual Portfolio'!T51</f>
        <v/>
      </c>
      <c r="U48" s="61" t="str">
        <f>'Virtual Portfolio'!U51</f>
        <v/>
      </c>
      <c r="V48" s="63"/>
      <c r="W48" s="64" t="str">
        <f t="shared" si="10"/>
        <v>DATA UNAVAILABLE</v>
      </c>
      <c r="X48" s="65" t="str">
        <f>IFERROR(__xludf.DUMMYFUNCTION("GOOGLEFINANCE($A48,X$3)"),"#N/A")</f>
        <v>#N/A</v>
      </c>
      <c r="Y48" s="65" t="str">
        <f>IFERROR(__xludf.DUMMYFUNCTION("GOOGLEFINANCE($A48,Y$3)"),"#N/A")</f>
        <v>#N/A</v>
      </c>
      <c r="Z48" s="65" t="str">
        <f>IFERROR(__xludf.DUMMYFUNCTION("GOOGLEFINANCE($A48,Z$3)"),"#N/A")</f>
        <v>#N/A</v>
      </c>
      <c r="AA48" s="65" t="str">
        <f>IFERROR(__xludf.DUMMYFUNCTION("GOOGLEFINANCE($A48,AA$3)"),"#N/A")</f>
        <v>#N/A</v>
      </c>
      <c r="AB48" s="65" t="str">
        <f>IFERROR(__xludf.DUMMYFUNCTION("GOOGLEFINANCE($A48,AB$3)"),"#N/A")</f>
        <v>#N/A</v>
      </c>
      <c r="AC48" s="65" t="str">
        <f>IFERROR(__xludf.DUMMYFUNCTION("GOOGLEFINANCE($A48,AC$3)"),"#N/A")</f>
        <v>#N/A</v>
      </c>
      <c r="AD48" s="65" t="str">
        <f>IFERROR(__xludf.DUMMYFUNCTION("GOOGLEFINANCE($A48,AD$3)"),"#N/A")</f>
        <v>#N/A</v>
      </c>
      <c r="AE48" s="65" t="str">
        <f>IFERROR(__xludf.DUMMYFUNCTION("GOOGLEFINANCE($A48,AE$3)"),"#N/A")</f>
        <v>#N/A</v>
      </c>
      <c r="AF48" s="17"/>
      <c r="AG48" s="17"/>
      <c r="AH48" s="17"/>
      <c r="AI48" s="17"/>
      <c r="AJ48" s="17"/>
      <c r="AK48" s="17"/>
    </row>
    <row r="49">
      <c r="A49" s="84" t="str">
        <f>'Virtual Portfolio'!A52</f>
        <v/>
      </c>
      <c r="B49" s="85" t="str">
        <f>IFERROR(__xludf.DUMMYFUNCTION("GOOGLEFINANCE(A49,""name"")"),"#N/A")</f>
        <v>#N/A</v>
      </c>
      <c r="C49" s="86" t="str">
        <f>'Virtual Portfolio'!C52</f>
        <v/>
      </c>
      <c r="D49" s="71" t="str">
        <f>IFERROR(__xludf.DUMMYFUNCTION("GOOGLEFINANCE(A49)"),"#N/A")</f>
        <v>#N/A</v>
      </c>
      <c r="E49" s="86"/>
      <c r="F49" s="86"/>
      <c r="G49" s="86"/>
      <c r="H49" s="73"/>
      <c r="I49" s="73"/>
      <c r="J49" s="87"/>
      <c r="K49" s="55" t="str">
        <f t="shared" si="7"/>
        <v>#N/A</v>
      </c>
      <c r="L49" s="56" t="str">
        <f>IFERROR(__xludf.DUMMYFUNCTION("SPARKLINE(GoogleFinance(A49, ""price"", TODAY()-30, TODAY()),{""color"",""blue"";""linewidth"",2})        "),"#N/A")</f>
        <v>#N/A</v>
      </c>
      <c r="M49" s="17" t="str">
        <f>IFERROR(__xludf.DUMMYFUNCTION("GOOGLEFINANCE(A49,""currency"")"),"#N/A")</f>
        <v>#N/A</v>
      </c>
      <c r="N49" s="57" t="str">
        <f t="shared" si="8"/>
        <v>#N/A</v>
      </c>
      <c r="O49" s="58" t="str">
        <f>IFERROR(__xludf.DUMMYFUNCTION("GOOGLEFINANCE(A49,""Change"")"),"#N/A")</f>
        <v>#N/A</v>
      </c>
      <c r="P49" s="59" t="str">
        <f>IFERROR(__xludf.DUMMYFUNCTION("GOOGLEFINANCE(A49,""High"")"),"#N/A")</f>
        <v>#N/A</v>
      </c>
      <c r="Q49" s="59" t="str">
        <f>IFERROR(__xludf.DUMMYFUNCTION("GOOGLEFINANCE(A49,""low"")"),"#N/A")</f>
        <v>#N/A</v>
      </c>
      <c r="R49" s="57" t="str">
        <f>IFERROR(__xludf.DUMMYFUNCTION("abs(P49-Q49)/GOOGLEFINANCE(A49,""closeyest"")"),"#N/A")</f>
        <v>#N/A</v>
      </c>
      <c r="S49" s="60" t="str">
        <f t="shared" si="9"/>
        <v>#N/A</v>
      </c>
      <c r="T49" s="61" t="str">
        <f>'Virtual Portfolio'!T52</f>
        <v/>
      </c>
      <c r="U49" s="61" t="str">
        <f>'Virtual Portfolio'!U52</f>
        <v/>
      </c>
      <c r="V49" s="63"/>
      <c r="W49" s="64" t="str">
        <f t="shared" si="10"/>
        <v>DATA UNAVAILABLE</v>
      </c>
      <c r="X49" s="65" t="str">
        <f>IFERROR(__xludf.DUMMYFUNCTION("GOOGLEFINANCE($A49,X$3)"),"#N/A")</f>
        <v>#N/A</v>
      </c>
      <c r="Y49" s="65" t="str">
        <f>IFERROR(__xludf.DUMMYFUNCTION("GOOGLEFINANCE($A49,Y$3)"),"#N/A")</f>
        <v>#N/A</v>
      </c>
      <c r="Z49" s="65" t="str">
        <f>IFERROR(__xludf.DUMMYFUNCTION("GOOGLEFINANCE($A49,Z$3)"),"#N/A")</f>
        <v>#N/A</v>
      </c>
      <c r="AA49" s="65" t="str">
        <f>IFERROR(__xludf.DUMMYFUNCTION("GOOGLEFINANCE($A49,AA$3)"),"#N/A")</f>
        <v>#N/A</v>
      </c>
      <c r="AB49" s="65" t="str">
        <f>IFERROR(__xludf.DUMMYFUNCTION("GOOGLEFINANCE($A49,AB$3)"),"#N/A")</f>
        <v>#N/A</v>
      </c>
      <c r="AC49" s="65" t="str">
        <f>IFERROR(__xludf.DUMMYFUNCTION("GOOGLEFINANCE($A49,AC$3)"),"#N/A")</f>
        <v>#N/A</v>
      </c>
      <c r="AD49" s="65" t="str">
        <f>IFERROR(__xludf.DUMMYFUNCTION("GOOGLEFINANCE($A49,AD$3)"),"#N/A")</f>
        <v>#N/A</v>
      </c>
      <c r="AE49" s="65" t="str">
        <f>IFERROR(__xludf.DUMMYFUNCTION("GOOGLEFINANCE($A49,AE$3)"),"#N/A")</f>
        <v>#N/A</v>
      </c>
      <c r="AF49" s="17"/>
      <c r="AG49" s="17"/>
      <c r="AH49" s="17"/>
      <c r="AI49" s="17"/>
      <c r="AJ49" s="17"/>
      <c r="AK49" s="17"/>
    </row>
    <row r="50">
      <c r="A50" s="84" t="str">
        <f>'Virtual Portfolio'!A53</f>
        <v/>
      </c>
      <c r="B50" s="85" t="str">
        <f>IFERROR(__xludf.DUMMYFUNCTION("GOOGLEFINANCE(A50,""name"")"),"#N/A")</f>
        <v>#N/A</v>
      </c>
      <c r="C50" s="86" t="str">
        <f>'Virtual Portfolio'!C53</f>
        <v/>
      </c>
      <c r="D50" s="71" t="str">
        <f>IFERROR(__xludf.DUMMYFUNCTION("GOOGLEFINANCE(A50)"),"#N/A")</f>
        <v>#N/A</v>
      </c>
      <c r="E50" s="86"/>
      <c r="F50" s="86"/>
      <c r="G50" s="86"/>
      <c r="H50" s="73"/>
      <c r="I50" s="73"/>
      <c r="J50" s="87"/>
      <c r="K50" s="55" t="str">
        <f t="shared" si="7"/>
        <v>#N/A</v>
      </c>
      <c r="L50" s="56" t="str">
        <f>IFERROR(__xludf.DUMMYFUNCTION("SPARKLINE(GoogleFinance(A50, ""price"", TODAY()-30, TODAY()),{""color"",""blue"";""linewidth"",2})        "),"#N/A")</f>
        <v>#N/A</v>
      </c>
      <c r="M50" s="17" t="str">
        <f>IFERROR(__xludf.DUMMYFUNCTION("GOOGLEFINANCE(A50,""currency"")"),"#N/A")</f>
        <v>#N/A</v>
      </c>
      <c r="N50" s="57" t="str">
        <f t="shared" si="8"/>
        <v>#N/A</v>
      </c>
      <c r="O50" s="58" t="str">
        <f>IFERROR(__xludf.DUMMYFUNCTION("GOOGLEFINANCE(A50,""Change"")"),"#N/A")</f>
        <v>#N/A</v>
      </c>
      <c r="P50" s="59" t="str">
        <f>IFERROR(__xludf.DUMMYFUNCTION("GOOGLEFINANCE(A50,""High"")"),"#N/A")</f>
        <v>#N/A</v>
      </c>
      <c r="Q50" s="59" t="str">
        <f>IFERROR(__xludf.DUMMYFUNCTION("GOOGLEFINANCE(A50,""low"")"),"#N/A")</f>
        <v>#N/A</v>
      </c>
      <c r="R50" s="57" t="str">
        <f>IFERROR(__xludf.DUMMYFUNCTION("abs(P50-Q50)/GOOGLEFINANCE(A50,""closeyest"")"),"#N/A")</f>
        <v>#N/A</v>
      </c>
      <c r="S50" s="60" t="str">
        <f t="shared" si="9"/>
        <v>#N/A</v>
      </c>
      <c r="T50" s="61" t="str">
        <f>'Virtual Portfolio'!T53</f>
        <v/>
      </c>
      <c r="U50" s="61" t="str">
        <f>'Virtual Portfolio'!U53</f>
        <v/>
      </c>
      <c r="V50" s="63"/>
      <c r="W50" s="64" t="str">
        <f t="shared" si="10"/>
        <v>DATA UNAVAILABLE</v>
      </c>
      <c r="X50" s="65" t="str">
        <f>IFERROR(__xludf.DUMMYFUNCTION("GOOGLEFINANCE($A50,X$3)"),"#N/A")</f>
        <v>#N/A</v>
      </c>
      <c r="Y50" s="65" t="str">
        <f>IFERROR(__xludf.DUMMYFUNCTION("GOOGLEFINANCE($A50,Y$3)"),"#N/A")</f>
        <v>#N/A</v>
      </c>
      <c r="Z50" s="65" t="str">
        <f>IFERROR(__xludf.DUMMYFUNCTION("GOOGLEFINANCE($A50,Z$3)"),"#N/A")</f>
        <v>#N/A</v>
      </c>
      <c r="AA50" s="65" t="str">
        <f>IFERROR(__xludf.DUMMYFUNCTION("GOOGLEFINANCE($A50,AA$3)"),"#N/A")</f>
        <v>#N/A</v>
      </c>
      <c r="AB50" s="65" t="str">
        <f>IFERROR(__xludf.DUMMYFUNCTION("GOOGLEFINANCE($A50,AB$3)"),"#N/A")</f>
        <v>#N/A</v>
      </c>
      <c r="AC50" s="65" t="str">
        <f>IFERROR(__xludf.DUMMYFUNCTION("GOOGLEFINANCE($A50,AC$3)"),"#N/A")</f>
        <v>#N/A</v>
      </c>
      <c r="AD50" s="65" t="str">
        <f>IFERROR(__xludf.DUMMYFUNCTION("GOOGLEFINANCE($A50,AD$3)"),"#N/A")</f>
        <v>#N/A</v>
      </c>
      <c r="AE50" s="65" t="str">
        <f>IFERROR(__xludf.DUMMYFUNCTION("GOOGLEFINANCE($A50,AE$3)"),"#N/A")</f>
        <v>#N/A</v>
      </c>
      <c r="AF50" s="17"/>
      <c r="AG50" s="17"/>
      <c r="AH50" s="17"/>
      <c r="AI50" s="17"/>
      <c r="AJ50" s="17"/>
      <c r="AK50" s="17"/>
    </row>
    <row r="51">
      <c r="A51" s="84" t="str">
        <f>'Virtual Portfolio'!A54</f>
        <v/>
      </c>
      <c r="B51" s="85" t="str">
        <f>IFERROR(__xludf.DUMMYFUNCTION("GOOGLEFINANCE(A51,""name"")"),"#N/A")</f>
        <v>#N/A</v>
      </c>
      <c r="C51" s="86" t="str">
        <f>'Virtual Portfolio'!C54</f>
        <v/>
      </c>
      <c r="D51" s="71" t="str">
        <f>IFERROR(__xludf.DUMMYFUNCTION("GOOGLEFINANCE(A51)"),"#N/A")</f>
        <v>#N/A</v>
      </c>
      <c r="E51" s="86"/>
      <c r="F51" s="86"/>
      <c r="G51" s="86"/>
      <c r="H51" s="73"/>
      <c r="I51" s="73"/>
      <c r="J51" s="87"/>
      <c r="K51" s="55" t="str">
        <f t="shared" si="7"/>
        <v>#N/A</v>
      </c>
      <c r="L51" s="56" t="str">
        <f>IFERROR(__xludf.DUMMYFUNCTION("SPARKLINE(GoogleFinance(A51, ""price"", TODAY()-30, TODAY()),{""color"",""blue"";""linewidth"",2})        "),"#N/A")</f>
        <v>#N/A</v>
      </c>
      <c r="M51" s="17" t="str">
        <f>IFERROR(__xludf.DUMMYFUNCTION("GOOGLEFINANCE(A51,""currency"")"),"#N/A")</f>
        <v>#N/A</v>
      </c>
      <c r="N51" s="57" t="str">
        <f t="shared" si="8"/>
        <v>#N/A</v>
      </c>
      <c r="O51" s="58" t="str">
        <f>IFERROR(__xludf.DUMMYFUNCTION("GOOGLEFINANCE(A51,""Change"")"),"#N/A")</f>
        <v>#N/A</v>
      </c>
      <c r="P51" s="59" t="str">
        <f>IFERROR(__xludf.DUMMYFUNCTION("GOOGLEFINANCE(A51,""High"")"),"#N/A")</f>
        <v>#N/A</v>
      </c>
      <c r="Q51" s="59" t="str">
        <f>IFERROR(__xludf.DUMMYFUNCTION("GOOGLEFINANCE(A51,""low"")"),"#N/A")</f>
        <v>#N/A</v>
      </c>
      <c r="R51" s="57" t="str">
        <f>IFERROR(__xludf.DUMMYFUNCTION("abs(P51-Q51)/GOOGLEFINANCE(A51,""closeyest"")"),"#N/A")</f>
        <v>#N/A</v>
      </c>
      <c r="S51" s="60" t="str">
        <f t="shared" si="9"/>
        <v>#N/A</v>
      </c>
      <c r="T51" s="61" t="str">
        <f>'Virtual Portfolio'!T54</f>
        <v/>
      </c>
      <c r="U51" s="61" t="str">
        <f>'Virtual Portfolio'!U54</f>
        <v/>
      </c>
      <c r="V51" s="63"/>
      <c r="W51" s="64" t="str">
        <f t="shared" si="10"/>
        <v>DATA UNAVAILABLE</v>
      </c>
      <c r="X51" s="65" t="str">
        <f>IFERROR(__xludf.DUMMYFUNCTION("GOOGLEFINANCE($A51,X$3)"),"#N/A")</f>
        <v>#N/A</v>
      </c>
      <c r="Y51" s="65" t="str">
        <f>IFERROR(__xludf.DUMMYFUNCTION("GOOGLEFINANCE($A51,Y$3)"),"#N/A")</f>
        <v>#N/A</v>
      </c>
      <c r="Z51" s="65" t="str">
        <f>IFERROR(__xludf.DUMMYFUNCTION("GOOGLEFINANCE($A51,Z$3)"),"#N/A")</f>
        <v>#N/A</v>
      </c>
      <c r="AA51" s="65" t="str">
        <f>IFERROR(__xludf.DUMMYFUNCTION("GOOGLEFINANCE($A51,AA$3)"),"#N/A")</f>
        <v>#N/A</v>
      </c>
      <c r="AB51" s="65" t="str">
        <f>IFERROR(__xludf.DUMMYFUNCTION("GOOGLEFINANCE($A51,AB$3)"),"#N/A")</f>
        <v>#N/A</v>
      </c>
      <c r="AC51" s="65" t="str">
        <f>IFERROR(__xludf.DUMMYFUNCTION("GOOGLEFINANCE($A51,AC$3)"),"#N/A")</f>
        <v>#N/A</v>
      </c>
      <c r="AD51" s="65" t="str">
        <f>IFERROR(__xludf.DUMMYFUNCTION("GOOGLEFINANCE($A51,AD$3)"),"#N/A")</f>
        <v>#N/A</v>
      </c>
      <c r="AE51" s="65" t="str">
        <f>IFERROR(__xludf.DUMMYFUNCTION("GOOGLEFINANCE($A51,AE$3)"),"#N/A")</f>
        <v>#N/A</v>
      </c>
      <c r="AF51" s="17"/>
      <c r="AG51" s="17"/>
      <c r="AH51" s="17"/>
      <c r="AI51" s="17"/>
      <c r="AJ51" s="17"/>
      <c r="AK51" s="17"/>
    </row>
    <row r="52">
      <c r="A52" s="84" t="str">
        <f>'Virtual Portfolio'!A55</f>
        <v/>
      </c>
      <c r="B52" s="85" t="str">
        <f>IFERROR(__xludf.DUMMYFUNCTION("GOOGLEFINANCE(A52,""name"")"),"#N/A")</f>
        <v>#N/A</v>
      </c>
      <c r="C52" s="86" t="str">
        <f>'Virtual Portfolio'!C55</f>
        <v/>
      </c>
      <c r="D52" s="71" t="str">
        <f>IFERROR(__xludf.DUMMYFUNCTION("GOOGLEFINANCE(A52)"),"#N/A")</f>
        <v>#N/A</v>
      </c>
      <c r="E52" s="86"/>
      <c r="F52" s="86"/>
      <c r="G52" s="86"/>
      <c r="H52" s="73"/>
      <c r="I52" s="73"/>
      <c r="J52" s="87"/>
      <c r="K52" s="55" t="str">
        <f t="shared" si="7"/>
        <v>#N/A</v>
      </c>
      <c r="L52" s="56" t="str">
        <f>IFERROR(__xludf.DUMMYFUNCTION("SPARKLINE(GoogleFinance(A52, ""price"", TODAY()-30, TODAY()),{""color"",""blue"";""linewidth"",2})        "),"#N/A")</f>
        <v>#N/A</v>
      </c>
      <c r="M52" s="17" t="str">
        <f>IFERROR(__xludf.DUMMYFUNCTION("GOOGLEFINANCE(A52,""currency"")"),"#N/A")</f>
        <v>#N/A</v>
      </c>
      <c r="N52" s="57" t="str">
        <f t="shared" si="8"/>
        <v>#N/A</v>
      </c>
      <c r="O52" s="58" t="str">
        <f>IFERROR(__xludf.DUMMYFUNCTION("GOOGLEFINANCE(A52,""Change"")"),"#N/A")</f>
        <v>#N/A</v>
      </c>
      <c r="P52" s="59" t="str">
        <f>IFERROR(__xludf.DUMMYFUNCTION("GOOGLEFINANCE(A52,""High"")"),"#N/A")</f>
        <v>#N/A</v>
      </c>
      <c r="Q52" s="59" t="str">
        <f>IFERROR(__xludf.DUMMYFUNCTION("GOOGLEFINANCE(A52,""low"")"),"#N/A")</f>
        <v>#N/A</v>
      </c>
      <c r="R52" s="57" t="str">
        <f>IFERROR(__xludf.DUMMYFUNCTION("abs(P52-Q52)/GOOGLEFINANCE(A52,""closeyest"")"),"#N/A")</f>
        <v>#N/A</v>
      </c>
      <c r="S52" s="60" t="str">
        <f t="shared" si="9"/>
        <v>#N/A</v>
      </c>
      <c r="T52" s="61" t="str">
        <f>'Virtual Portfolio'!T55</f>
        <v/>
      </c>
      <c r="U52" s="61" t="str">
        <f>'Virtual Portfolio'!U55</f>
        <v/>
      </c>
      <c r="V52" s="63"/>
      <c r="W52" s="64" t="str">
        <f t="shared" si="10"/>
        <v>DATA UNAVAILABLE</v>
      </c>
      <c r="X52" s="65" t="str">
        <f>IFERROR(__xludf.DUMMYFUNCTION("GOOGLEFINANCE($A52,X$3)"),"#N/A")</f>
        <v>#N/A</v>
      </c>
      <c r="Y52" s="65" t="str">
        <f>IFERROR(__xludf.DUMMYFUNCTION("GOOGLEFINANCE($A52,Y$3)"),"#N/A")</f>
        <v>#N/A</v>
      </c>
      <c r="Z52" s="65" t="str">
        <f>IFERROR(__xludf.DUMMYFUNCTION("GOOGLEFINANCE($A52,Z$3)"),"#N/A")</f>
        <v>#N/A</v>
      </c>
      <c r="AA52" s="65" t="str">
        <f>IFERROR(__xludf.DUMMYFUNCTION("GOOGLEFINANCE($A52,AA$3)"),"#N/A")</f>
        <v>#N/A</v>
      </c>
      <c r="AB52" s="65" t="str">
        <f>IFERROR(__xludf.DUMMYFUNCTION("GOOGLEFINANCE($A52,AB$3)"),"#N/A")</f>
        <v>#N/A</v>
      </c>
      <c r="AC52" s="65" t="str">
        <f>IFERROR(__xludf.DUMMYFUNCTION("GOOGLEFINANCE($A52,AC$3)"),"#N/A")</f>
        <v>#N/A</v>
      </c>
      <c r="AD52" s="65" t="str">
        <f>IFERROR(__xludf.DUMMYFUNCTION("GOOGLEFINANCE($A52,AD$3)"),"#N/A")</f>
        <v>#N/A</v>
      </c>
      <c r="AE52" s="65" t="str">
        <f>IFERROR(__xludf.DUMMYFUNCTION("GOOGLEFINANCE($A52,AE$3)"),"#N/A")</f>
        <v>#N/A</v>
      </c>
      <c r="AF52" s="17"/>
      <c r="AG52" s="17"/>
      <c r="AH52" s="17"/>
      <c r="AI52" s="17"/>
      <c r="AJ52" s="17"/>
      <c r="AK52" s="17"/>
    </row>
  </sheetData>
  <conditionalFormatting sqref="N4:N52">
    <cfRule type="colorScale" priority="1">
      <colorScale>
        <cfvo type="percent" val="-100"/>
        <cfvo type="percentile" val="50"/>
        <cfvo type="percent" val="100"/>
        <color rgb="FFE67C73"/>
        <color rgb="FFFFFFFF"/>
        <color rgb="FF57BB8A"/>
      </colorScale>
    </cfRule>
  </conditionalFormatting>
  <conditionalFormatting sqref="R4:R52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V4:W52">
    <cfRule type="containsText" dxfId="0" priority="3" operator="containsText" text="TRADE ALERT">
      <formula>NOT(ISERROR(SEARCH(("TRADE ALERT"),(V4))))</formula>
    </cfRule>
  </conditionalFormatting>
  <conditionalFormatting sqref="S4:S52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N3:N52 K4:K52">
    <cfRule type="cellIs" dxfId="1" priority="5" operator="lessThan">
      <formula>"0%"</formula>
    </cfRule>
  </conditionalFormatting>
  <conditionalFormatting sqref="N3:N52 K4:K52">
    <cfRule type="cellIs" dxfId="2" priority="6" operator="equal">
      <formula>"0%"</formula>
    </cfRule>
  </conditionalFormatting>
  <conditionalFormatting sqref="N3:N52 K4:K52">
    <cfRule type="cellIs" dxfId="3" priority="7" operator="greaterThan">
      <formula>"0%"</formula>
    </cfRule>
  </conditionalFormatting>
  <conditionalFormatting sqref="J4:J28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4.25"/>
    <col customWidth="1" min="10" max="10" width="15.0"/>
    <col customWidth="1" min="11" max="11" width="15.5"/>
  </cols>
  <sheetData>
    <row r="1">
      <c r="B1" s="89"/>
    </row>
    <row r="2">
      <c r="A2" s="90" t="s">
        <v>51</v>
      </c>
    </row>
    <row r="4">
      <c r="B4" s="91" t="s">
        <v>52</v>
      </c>
      <c r="C4" s="92" t="s">
        <v>53</v>
      </c>
      <c r="D4" s="93"/>
      <c r="E4" s="93"/>
      <c r="F4" s="94" t="s">
        <v>54</v>
      </c>
      <c r="G4" s="95"/>
      <c r="I4" s="96" t="s">
        <v>52</v>
      </c>
      <c r="J4" s="92" t="s">
        <v>53</v>
      </c>
      <c r="K4" s="93"/>
      <c r="L4" s="93"/>
      <c r="M4" s="95"/>
    </row>
    <row r="5">
      <c r="B5" s="97" t="s">
        <v>55</v>
      </c>
      <c r="C5" s="98">
        <f>IFERROR(__xludf.DUMMYFUNCTION("GOOGLEFINANCE(B5)"),4.75)</f>
        <v>4.75</v>
      </c>
      <c r="D5" s="99" t="s">
        <v>56</v>
      </c>
      <c r="E5" s="100">
        <v>1000.0</v>
      </c>
      <c r="F5" s="17">
        <f>IFERROR(__xludf.DUMMYFUNCTION("GOOGLEFINANCE(""CURRENCY:GBPUSD"")"),1.35588)</f>
        <v>1.35588</v>
      </c>
      <c r="G5" s="101"/>
      <c r="I5" s="102" t="s">
        <v>57</v>
      </c>
      <c r="J5" s="103">
        <f>IFERROR(__xludf.DUMMYFUNCTION("GOOGLEFINANCE(I5)"),0.13)</f>
        <v>0.13</v>
      </c>
      <c r="K5" s="104" t="s">
        <v>56</v>
      </c>
      <c r="L5" s="105">
        <v>4000.0</v>
      </c>
      <c r="M5" s="106"/>
    </row>
    <row r="6">
      <c r="B6" s="107"/>
      <c r="C6" s="108" t="s">
        <v>19</v>
      </c>
      <c r="D6" s="108" t="s">
        <v>58</v>
      </c>
      <c r="E6" s="108" t="s">
        <v>59</v>
      </c>
      <c r="F6" s="109" t="s">
        <v>60</v>
      </c>
      <c r="G6" s="110" t="s">
        <v>61</v>
      </c>
      <c r="I6" s="111" t="str">
        <f>IFERROR(__xludf.DUMMYFUNCTION("GOOGLEFINANCE(I5,""name"")"),"Akwaaba Mining Ltd")</f>
        <v>Akwaaba Mining Ltd</v>
      </c>
      <c r="J6" s="108" t="s">
        <v>19</v>
      </c>
      <c r="K6" s="108" t="s">
        <v>58</v>
      </c>
      <c r="L6" s="108" t="s">
        <v>59</v>
      </c>
      <c r="M6" s="112" t="s">
        <v>62</v>
      </c>
    </row>
    <row r="7">
      <c r="B7" s="113" t="s">
        <v>63</v>
      </c>
      <c r="C7" s="114">
        <f t="shared" ref="C7:C9" si="1">round(F7*100/D7,0)</f>
        <v>6316</v>
      </c>
      <c r="D7" s="115">
        <f>C5</f>
        <v>4.75</v>
      </c>
      <c r="E7" s="17">
        <f t="shared" ref="E7:E9" si="2">C7*D7/100</f>
        <v>300.01</v>
      </c>
      <c r="F7" s="52">
        <v>300.0</v>
      </c>
      <c r="G7" s="116">
        <f>F7*F5</f>
        <v>406.764</v>
      </c>
      <c r="I7" s="117" t="s">
        <v>63</v>
      </c>
      <c r="J7" s="118">
        <f t="shared" ref="J7:J9" si="3">round(M7/K7*100,0)</f>
        <v>882</v>
      </c>
      <c r="K7" s="115">
        <v>170.0</v>
      </c>
      <c r="L7" s="17">
        <f t="shared" ref="L7:L9" si="4">J7*K7/100</f>
        <v>1499.4</v>
      </c>
      <c r="M7" s="119">
        <v>1500.0</v>
      </c>
    </row>
    <row r="8">
      <c r="B8" s="113" t="s">
        <v>64</v>
      </c>
      <c r="C8" s="114">
        <f t="shared" si="1"/>
        <v>15789</v>
      </c>
      <c r="D8" s="114">
        <f t="shared" ref="D8:D9" si="5">D7*0.4</f>
        <v>1.9</v>
      </c>
      <c r="E8" s="17">
        <f t="shared" si="2"/>
        <v>299.991</v>
      </c>
      <c r="F8" s="52">
        <v>300.0</v>
      </c>
      <c r="G8" s="116">
        <f>F8*F5</f>
        <v>406.764</v>
      </c>
      <c r="I8" s="117" t="s">
        <v>64</v>
      </c>
      <c r="J8" s="118">
        <f t="shared" si="3"/>
        <v>2941</v>
      </c>
      <c r="K8" s="114">
        <f>K7*0.3</f>
        <v>51</v>
      </c>
      <c r="L8" s="17">
        <f t="shared" si="4"/>
        <v>1499.91</v>
      </c>
      <c r="M8" s="119">
        <v>1500.0</v>
      </c>
    </row>
    <row r="9">
      <c r="B9" s="113" t="s">
        <v>65</v>
      </c>
      <c r="C9" s="114">
        <f t="shared" si="1"/>
        <v>52632</v>
      </c>
      <c r="D9" s="114">
        <f t="shared" si="5"/>
        <v>0.76</v>
      </c>
      <c r="E9" s="17">
        <f t="shared" si="2"/>
        <v>400.0032</v>
      </c>
      <c r="F9" s="52">
        <v>400.0</v>
      </c>
      <c r="G9" s="116">
        <f>F9*F5</f>
        <v>542.352</v>
      </c>
      <c r="I9" s="117" t="s">
        <v>65</v>
      </c>
      <c r="J9" s="114">
        <f t="shared" si="3"/>
        <v>3333</v>
      </c>
      <c r="K9" s="114">
        <v>30.0</v>
      </c>
      <c r="L9" s="17">
        <f t="shared" si="4"/>
        <v>999.9</v>
      </c>
      <c r="M9" s="119">
        <v>1000.0</v>
      </c>
    </row>
    <row r="10">
      <c r="B10" s="113" t="s">
        <v>66</v>
      </c>
      <c r="C10" s="114"/>
      <c r="D10" s="114"/>
      <c r="E10" s="17">
        <f>C10*D10</f>
        <v>0</v>
      </c>
      <c r="G10" s="101"/>
      <c r="I10" s="117" t="s">
        <v>66</v>
      </c>
      <c r="J10" s="114"/>
      <c r="K10" s="114"/>
      <c r="L10" s="17">
        <f>J10*K10</f>
        <v>0</v>
      </c>
      <c r="M10" s="120"/>
    </row>
    <row r="11">
      <c r="B11" s="121"/>
      <c r="C11" s="122">
        <f>sum(C7:C10)</f>
        <v>74737</v>
      </c>
      <c r="D11" s="123"/>
      <c r="E11" s="123">
        <f>sum(E7:E10)</f>
        <v>1000.0042</v>
      </c>
      <c r="F11" s="124"/>
      <c r="G11" s="101"/>
      <c r="I11" s="125"/>
      <c r="J11" s="122">
        <f>sum(J7:J10)</f>
        <v>7156</v>
      </c>
      <c r="K11" s="123"/>
      <c r="L11" s="123">
        <f>sum(L7:L10)</f>
        <v>3999.21</v>
      </c>
      <c r="M11" s="120"/>
    </row>
    <row r="12">
      <c r="B12" s="126"/>
      <c r="C12" s="127"/>
      <c r="D12" s="128" t="s">
        <v>67</v>
      </c>
      <c r="E12" s="129">
        <f>E11/C11</f>
        <v>0.01338030962</v>
      </c>
      <c r="F12" s="130"/>
      <c r="G12" s="131"/>
      <c r="I12" s="125"/>
      <c r="M12" s="132"/>
    </row>
    <row r="13">
      <c r="B13" s="89"/>
      <c r="I13" s="133"/>
      <c r="J13" s="134"/>
      <c r="K13" s="135" t="s">
        <v>67</v>
      </c>
      <c r="L13" s="136">
        <f>L11/J11</f>
        <v>0.5588610956</v>
      </c>
      <c r="M13" s="137"/>
    </row>
    <row r="14">
      <c r="B14" s="138" t="str">
        <f>IFERROR(__xludf.DUMMYFUNCTION("GOOGLEFINANCE(B15,""NAME"")"),"#N/A")</f>
        <v>#N/A</v>
      </c>
      <c r="C14" s="139"/>
      <c r="D14" s="139"/>
      <c r="E14" s="140">
        <f>E15*F15</f>
        <v>1355.88</v>
      </c>
      <c r="F14" s="141" t="s">
        <v>54</v>
      </c>
      <c r="G14" s="142"/>
    </row>
    <row r="15">
      <c r="B15" s="143" t="s">
        <v>68</v>
      </c>
      <c r="C15" s="144" t="str">
        <f>IFERROR(__xludf.DUMMYFUNCTION("GOOGLEFINANCE(B15)"),"#N/A")</f>
        <v>#N/A</v>
      </c>
      <c r="D15" s="145" t="s">
        <v>69</v>
      </c>
      <c r="E15" s="146">
        <v>1000.0</v>
      </c>
      <c r="F15" s="147">
        <f>IFERROR(__xludf.DUMMYFUNCTION("GOOGLEFINANCE(""CURRENCY:GBPUSD"")"),1.35588)</f>
        <v>1.35588</v>
      </c>
      <c r="G15" s="148">
        <f>E15*F15</f>
        <v>1355.88</v>
      </c>
      <c r="I15" s="102" t="s">
        <v>70</v>
      </c>
      <c r="J15" s="103">
        <f>IFERROR(__xludf.DUMMYFUNCTION("GOOGLEFINANCE(I15)"),0.47)</f>
        <v>0.47</v>
      </c>
      <c r="K15" s="104" t="s">
        <v>56</v>
      </c>
      <c r="L15" s="105">
        <v>1000.0</v>
      </c>
      <c r="M15" s="106"/>
    </row>
    <row r="16">
      <c r="B16" s="149"/>
      <c r="C16" s="150" t="s">
        <v>19</v>
      </c>
      <c r="D16" s="151" t="s">
        <v>58</v>
      </c>
      <c r="E16" s="151" t="s">
        <v>71</v>
      </c>
      <c r="F16" s="152" t="s">
        <v>62</v>
      </c>
      <c r="G16" s="153" t="s">
        <v>61</v>
      </c>
      <c r="I16" s="111" t="str">
        <f>IFERROR(__xludf.DUMMYFUNCTION("GOOGLEFINANCE(I15,""name"")"),"Terrascend Corp")</f>
        <v>Terrascend Corp</v>
      </c>
      <c r="J16" s="108" t="s">
        <v>19</v>
      </c>
      <c r="K16" s="108" t="s">
        <v>58</v>
      </c>
      <c r="L16" s="108" t="s">
        <v>59</v>
      </c>
      <c r="M16" s="112" t="s">
        <v>62</v>
      </c>
    </row>
    <row r="17">
      <c r="B17" s="154" t="s">
        <v>63</v>
      </c>
      <c r="C17" s="155">
        <v>1500.0</v>
      </c>
      <c r="D17" s="156" t="str">
        <f>C15</f>
        <v>#N/A</v>
      </c>
      <c r="E17" s="17" t="str">
        <f t="shared" ref="E17:E19" si="6">D17*C17</f>
        <v>#N/A</v>
      </c>
      <c r="F17" s="157">
        <v>300.0</v>
      </c>
      <c r="G17" s="158">
        <f>F17*F15</f>
        <v>406.764</v>
      </c>
      <c r="I17" s="159" t="s">
        <v>63</v>
      </c>
      <c r="J17" s="160">
        <f t="shared" ref="J17:J18" si="7">ROUND(M17/K17*100,0)</f>
        <v>725</v>
      </c>
      <c r="K17" s="115">
        <v>69.0</v>
      </c>
      <c r="L17" s="17">
        <f t="shared" ref="L17:L19" si="8">J17*K17/100</f>
        <v>500.25</v>
      </c>
      <c r="M17" s="119">
        <v>500.0</v>
      </c>
    </row>
    <row r="18">
      <c r="B18" s="161" t="s">
        <v>64</v>
      </c>
      <c r="C18" s="155">
        <v>2000.0</v>
      </c>
      <c r="D18" s="155" t="str">
        <f t="shared" ref="D18:D19" si="9">D17*0.5</f>
        <v>#N/A</v>
      </c>
      <c r="E18" s="17" t="str">
        <f t="shared" si="6"/>
        <v>#N/A</v>
      </c>
      <c r="F18" s="157">
        <v>300.0</v>
      </c>
      <c r="G18" s="162">
        <f>F18*F15</f>
        <v>406.764</v>
      </c>
      <c r="I18" s="117" t="s">
        <v>64</v>
      </c>
      <c r="J18" s="114">
        <f t="shared" si="7"/>
        <v>1449</v>
      </c>
      <c r="K18" s="114">
        <f>K17*0.5</f>
        <v>34.5</v>
      </c>
      <c r="L18" s="17">
        <f t="shared" si="8"/>
        <v>499.905</v>
      </c>
      <c r="M18" s="119">
        <v>500.0</v>
      </c>
    </row>
    <row r="19">
      <c r="B19" s="161" t="s">
        <v>65</v>
      </c>
      <c r="C19" s="155">
        <v>3000.0</v>
      </c>
      <c r="D19" s="155" t="str">
        <f t="shared" si="9"/>
        <v>#N/A</v>
      </c>
      <c r="E19" s="17" t="str">
        <f t="shared" si="6"/>
        <v>#N/A</v>
      </c>
      <c r="F19" s="157">
        <v>400.0</v>
      </c>
      <c r="G19" s="162">
        <f>F19*F15</f>
        <v>542.352</v>
      </c>
      <c r="I19" s="117" t="s">
        <v>65</v>
      </c>
      <c r="J19" s="114"/>
      <c r="K19" s="114"/>
      <c r="L19" s="17">
        <f t="shared" si="8"/>
        <v>0</v>
      </c>
      <c r="M19" s="119"/>
    </row>
    <row r="20">
      <c r="B20" s="161" t="s">
        <v>66</v>
      </c>
      <c r="C20" s="118"/>
      <c r="D20" s="118"/>
      <c r="E20" s="163">
        <f>C20*D20</f>
        <v>0</v>
      </c>
      <c r="F20" s="164"/>
      <c r="G20" s="165"/>
      <c r="I20" s="117" t="s">
        <v>66</v>
      </c>
      <c r="J20" s="114"/>
      <c r="K20" s="114"/>
      <c r="L20" s="17">
        <f>J20*K20</f>
        <v>0</v>
      </c>
      <c r="M20" s="120"/>
    </row>
    <row r="21">
      <c r="B21" s="149"/>
      <c r="C21" s="166">
        <f>sum(C17:C20)</f>
        <v>6500</v>
      </c>
      <c r="D21" s="167"/>
      <c r="E21" s="168" t="str">
        <f>sum(E17:E20)</f>
        <v>#N/A</v>
      </c>
      <c r="F21" s="14"/>
      <c r="G21" s="165"/>
      <c r="I21" s="125"/>
      <c r="J21" s="122">
        <f>sum(J17:J20)</f>
        <v>2174</v>
      </c>
      <c r="K21" s="123"/>
      <c r="L21" s="123">
        <f>sum(L17:L20)</f>
        <v>1000.155</v>
      </c>
      <c r="M21" s="120"/>
    </row>
    <row r="22">
      <c r="B22" s="169"/>
      <c r="C22" s="164"/>
      <c r="D22" s="170"/>
      <c r="E22" s="171"/>
      <c r="F22" s="172"/>
      <c r="G22" s="165"/>
      <c r="I22" s="125"/>
      <c r="M22" s="132"/>
    </row>
    <row r="23">
      <c r="B23" s="173"/>
      <c r="C23" s="174"/>
      <c r="D23" s="175" t="s">
        <v>67</v>
      </c>
      <c r="E23" s="176" t="str">
        <f>E21/C21</f>
        <v>#N/A</v>
      </c>
      <c r="F23" s="177"/>
      <c r="G23" s="178"/>
      <c r="I23" s="133"/>
      <c r="J23" s="134"/>
      <c r="K23" s="135" t="s">
        <v>67</v>
      </c>
      <c r="L23" s="136">
        <f>L21/J21</f>
        <v>0.4600528979</v>
      </c>
      <c r="M23" s="137"/>
    </row>
    <row r="24">
      <c r="B24" s="89"/>
    </row>
    <row r="25">
      <c r="B25" s="138" t="str">
        <f>IFERROR(__xludf.DUMMYFUNCTION("GOOGLEFINANCE(B26,""NAME"")"),"Jumia Technologies AG - ADR")</f>
        <v>Jumia Technologies AG - ADR</v>
      </c>
      <c r="C25" s="139"/>
      <c r="D25" s="139"/>
      <c r="E25" s="139"/>
      <c r="F25" s="179" t="s">
        <v>54</v>
      </c>
      <c r="G25" s="142"/>
      <c r="I25" s="102" t="s">
        <v>72</v>
      </c>
      <c r="J25" s="103">
        <f>IFERROR(__xludf.DUMMYFUNCTION("GOOGLEFINANCE(I25)"),138.0)</f>
        <v>138</v>
      </c>
      <c r="K25" s="104" t="s">
        <v>56</v>
      </c>
      <c r="L25" s="105">
        <v>1000.0</v>
      </c>
      <c r="M25" s="106"/>
    </row>
    <row r="26">
      <c r="B26" s="143" t="s">
        <v>45</v>
      </c>
      <c r="C26" s="144">
        <f>IFERROR(__xludf.DUMMYFUNCTION("GOOGLEFINANCE(B26)"),9.34)</f>
        <v>9.34</v>
      </c>
      <c r="D26" s="180" t="s">
        <v>56</v>
      </c>
      <c r="E26" s="181">
        <v>1000.0</v>
      </c>
      <c r="F26" s="147">
        <f>IFERROR(__xludf.DUMMYFUNCTION("GOOGLEFINANCE(""CURRENCY:GBPUSD"")"),1.35588)</f>
        <v>1.35588</v>
      </c>
      <c r="G26" s="165"/>
      <c r="I26" s="111"/>
      <c r="J26" s="108" t="s">
        <v>19</v>
      </c>
      <c r="K26" s="108" t="s">
        <v>58</v>
      </c>
      <c r="L26" s="108" t="s">
        <v>59</v>
      </c>
      <c r="M26" s="112" t="s">
        <v>62</v>
      </c>
    </row>
    <row r="27">
      <c r="B27" s="149"/>
      <c r="C27" s="150" t="s">
        <v>19</v>
      </c>
      <c r="D27" s="151" t="s">
        <v>58</v>
      </c>
      <c r="E27" s="151" t="s">
        <v>71</v>
      </c>
      <c r="F27" s="152" t="s">
        <v>62</v>
      </c>
      <c r="G27" s="153" t="s">
        <v>61</v>
      </c>
      <c r="I27" s="117" t="s">
        <v>63</v>
      </c>
      <c r="J27" s="114">
        <f t="shared" ref="J27:J29" si="10">round(M27/K27*100,0)</f>
        <v>229</v>
      </c>
      <c r="K27" s="115">
        <v>131.0</v>
      </c>
      <c r="L27" s="17">
        <f t="shared" ref="L27:L29" si="11">J27*K27/100</f>
        <v>299.99</v>
      </c>
      <c r="M27" s="119">
        <v>300.0</v>
      </c>
    </row>
    <row r="28">
      <c r="B28" s="154" t="s">
        <v>63</v>
      </c>
      <c r="C28" s="155">
        <v>150.0</v>
      </c>
      <c r="D28" s="156">
        <f>C26</f>
        <v>9.34</v>
      </c>
      <c r="E28" s="17">
        <f t="shared" ref="E28:E30" si="12">D28*C28</f>
        <v>1401</v>
      </c>
      <c r="F28" s="157">
        <v>300.0</v>
      </c>
      <c r="G28" s="158">
        <f>F28*F26</f>
        <v>406.764</v>
      </c>
      <c r="I28" s="117" t="s">
        <v>64</v>
      </c>
      <c r="J28" s="114">
        <f t="shared" si="10"/>
        <v>286</v>
      </c>
      <c r="K28" s="114">
        <f t="shared" ref="K28:K29" si="13">K27*0.8</f>
        <v>104.8</v>
      </c>
      <c r="L28" s="17">
        <f t="shared" si="11"/>
        <v>299.728</v>
      </c>
      <c r="M28" s="119">
        <v>300.0</v>
      </c>
    </row>
    <row r="29">
      <c r="B29" s="161" t="s">
        <v>64</v>
      </c>
      <c r="C29" s="155">
        <v>200.0</v>
      </c>
      <c r="D29" s="155">
        <f t="shared" ref="D29:D30" si="14">D28*0.5</f>
        <v>4.67</v>
      </c>
      <c r="E29" s="17">
        <f t="shared" si="12"/>
        <v>934</v>
      </c>
      <c r="F29" s="157">
        <v>300.0</v>
      </c>
      <c r="G29" s="162">
        <f>F29*F26</f>
        <v>406.764</v>
      </c>
      <c r="I29" s="117" t="s">
        <v>65</v>
      </c>
      <c r="J29" s="114">
        <f t="shared" si="10"/>
        <v>477</v>
      </c>
      <c r="K29" s="114">
        <f t="shared" si="13"/>
        <v>83.84</v>
      </c>
      <c r="L29" s="17">
        <f t="shared" si="11"/>
        <v>399.9168</v>
      </c>
      <c r="M29" s="119">
        <v>400.0</v>
      </c>
      <c r="N29" s="182"/>
      <c r="O29" s="183"/>
      <c r="P29" s="183"/>
    </row>
    <row r="30">
      <c r="B30" s="161" t="s">
        <v>65</v>
      </c>
      <c r="C30" s="155">
        <v>400.0</v>
      </c>
      <c r="D30" s="155">
        <f t="shared" si="14"/>
        <v>2.335</v>
      </c>
      <c r="E30" s="17">
        <f t="shared" si="12"/>
        <v>934</v>
      </c>
      <c r="F30" s="157">
        <v>400.0</v>
      </c>
      <c r="G30" s="162">
        <f>F30*F26</f>
        <v>542.352</v>
      </c>
      <c r="I30" s="117" t="s">
        <v>66</v>
      </c>
      <c r="J30" s="114"/>
      <c r="K30" s="114"/>
      <c r="L30" s="17">
        <f>J30*K30</f>
        <v>0</v>
      </c>
      <c r="M30" s="120"/>
      <c r="N30" s="184"/>
      <c r="O30" s="183"/>
      <c r="P30" s="183"/>
    </row>
    <row r="31">
      <c r="B31" s="161" t="s">
        <v>66</v>
      </c>
      <c r="C31" s="118"/>
      <c r="D31" s="118"/>
      <c r="E31" s="163">
        <f>C31*D31</f>
        <v>0</v>
      </c>
      <c r="F31" s="164"/>
      <c r="G31" s="165"/>
      <c r="I31" s="125"/>
      <c r="J31" s="122">
        <f>sum(J27:J30)</f>
        <v>992</v>
      </c>
      <c r="K31" s="123"/>
      <c r="L31" s="123">
        <f>sum(L27:L30)</f>
        <v>999.6348</v>
      </c>
      <c r="M31" s="120"/>
      <c r="N31" s="184"/>
      <c r="O31" s="183"/>
      <c r="P31" s="183"/>
    </row>
    <row r="32">
      <c r="B32" s="149"/>
      <c r="C32" s="166">
        <f>sum(C28:C31)</f>
        <v>750</v>
      </c>
      <c r="D32" s="167"/>
      <c r="E32" s="168">
        <f>sum(E28:E31)</f>
        <v>3269</v>
      </c>
      <c r="F32" s="14"/>
      <c r="G32" s="165"/>
      <c r="I32" s="125"/>
      <c r="M32" s="132"/>
      <c r="N32" s="184"/>
      <c r="O32" s="183"/>
      <c r="P32" s="183"/>
    </row>
    <row r="33">
      <c r="B33" s="169"/>
      <c r="C33" s="164"/>
      <c r="D33" s="170"/>
      <c r="E33" s="171"/>
      <c r="F33" s="172"/>
      <c r="G33" s="165"/>
      <c r="I33" s="133"/>
      <c r="J33" s="134"/>
      <c r="K33" s="135" t="s">
        <v>67</v>
      </c>
      <c r="L33" s="136">
        <f>L31/J31</f>
        <v>1.007696371</v>
      </c>
      <c r="M33" s="137"/>
      <c r="N33" s="183"/>
      <c r="O33" s="183"/>
      <c r="P33" s="183"/>
    </row>
    <row r="34">
      <c r="B34" s="173"/>
      <c r="C34" s="174"/>
      <c r="D34" s="175" t="s">
        <v>67</v>
      </c>
      <c r="E34" s="185">
        <f>E32/C32</f>
        <v>4.358666667</v>
      </c>
      <c r="F34" s="177"/>
      <c r="G34" s="178"/>
    </row>
    <row r="35">
      <c r="B35" s="89"/>
      <c r="D35" s="182"/>
      <c r="E35" s="186"/>
      <c r="I35" s="102" t="s">
        <v>73</v>
      </c>
      <c r="J35" s="103">
        <f>IFERROR(__xludf.DUMMYFUNCTION("GOOGLEFINANCE(I35)"),406.1)</f>
        <v>406.1</v>
      </c>
      <c r="K35" s="104" t="s">
        <v>56</v>
      </c>
      <c r="L35" s="105">
        <v>1000.0</v>
      </c>
      <c r="M35" s="106"/>
      <c r="N35" s="187"/>
    </row>
    <row r="36">
      <c r="B36" s="188" t="str">
        <f>IFERROR(__xludf.DUMMYFUNCTION("GOOGLEFINANCE(B37,""NAME"")"),"Virgin Galactic Holdings Inc")</f>
        <v>Virgin Galactic Holdings Inc</v>
      </c>
      <c r="C36" s="93"/>
      <c r="D36" s="93"/>
      <c r="E36" s="189">
        <f>E37*F37</f>
        <v>572.1275</v>
      </c>
      <c r="F36" s="190" t="s">
        <v>74</v>
      </c>
      <c r="G36" s="95"/>
      <c r="I36" s="111"/>
      <c r="J36" s="108" t="s">
        <v>19</v>
      </c>
      <c r="K36" s="108" t="s">
        <v>58</v>
      </c>
      <c r="L36" s="108" t="s">
        <v>59</v>
      </c>
      <c r="M36" s="112" t="s">
        <v>62</v>
      </c>
      <c r="N36" s="191"/>
    </row>
    <row r="37">
      <c r="B37" s="97" t="s">
        <v>75</v>
      </c>
      <c r="C37" s="98">
        <f>IFERROR(__xludf.DUMMYFUNCTION("GOOGLEFINANCE(B37)"),2.52)</f>
        <v>2.52</v>
      </c>
      <c r="D37" s="192" t="s">
        <v>56</v>
      </c>
      <c r="E37" s="193">
        <v>500.0</v>
      </c>
      <c r="F37" s="194">
        <f>IFERROR(__xludf.DUMMYFUNCTION("GOOGLEFINANCE(""CURRENCY:GBPEUR"")"),1.144255)</f>
        <v>1.144255</v>
      </c>
      <c r="G37" s="101"/>
      <c r="I37" s="117" t="s">
        <v>63</v>
      </c>
      <c r="J37" s="114">
        <f t="shared" ref="J37:J39" si="15">round(M37/K37*100,0)</f>
        <v>74</v>
      </c>
      <c r="K37" s="115">
        <f>J35</f>
        <v>406.1</v>
      </c>
      <c r="L37" s="17">
        <f t="shared" ref="L37:L39" si="16">J37*K37/100</f>
        <v>300.514</v>
      </c>
      <c r="M37" s="119">
        <v>300.0</v>
      </c>
      <c r="N37" s="17"/>
    </row>
    <row r="38">
      <c r="B38" s="107"/>
      <c r="C38" s="108" t="s">
        <v>19</v>
      </c>
      <c r="D38" s="108" t="s">
        <v>58</v>
      </c>
      <c r="E38" s="108" t="s">
        <v>76</v>
      </c>
      <c r="F38" s="152" t="s">
        <v>62</v>
      </c>
      <c r="G38" s="195" t="s">
        <v>77</v>
      </c>
      <c r="I38" s="117" t="s">
        <v>64</v>
      </c>
      <c r="J38" s="114">
        <f t="shared" si="15"/>
        <v>148</v>
      </c>
      <c r="K38" s="114">
        <f t="shared" ref="K38:K39" si="17">K37*0.5</f>
        <v>203.05</v>
      </c>
      <c r="L38" s="17">
        <f t="shared" si="16"/>
        <v>300.514</v>
      </c>
      <c r="M38" s="119">
        <v>300.0</v>
      </c>
      <c r="N38" s="17"/>
    </row>
    <row r="39">
      <c r="B39" s="113" t="s">
        <v>63</v>
      </c>
      <c r="C39" s="155">
        <f t="shared" ref="C39:C41" si="18">round(G39/D39,0)</f>
        <v>381</v>
      </c>
      <c r="D39" s="115">
        <f>C37</f>
        <v>2.52</v>
      </c>
      <c r="E39" s="17">
        <f t="shared" ref="E39:E41" si="19">D39*C39</f>
        <v>960.12</v>
      </c>
      <c r="F39" s="196">
        <v>838.0</v>
      </c>
      <c r="G39" s="116">
        <f>F39*F37</f>
        <v>958.88569</v>
      </c>
      <c r="I39" s="117" t="s">
        <v>65</v>
      </c>
      <c r="J39" s="114">
        <f t="shared" si="15"/>
        <v>394</v>
      </c>
      <c r="K39" s="114">
        <f t="shared" si="17"/>
        <v>101.525</v>
      </c>
      <c r="L39" s="17">
        <f t="shared" si="16"/>
        <v>400.0085</v>
      </c>
      <c r="M39" s="119">
        <v>400.0</v>
      </c>
      <c r="N39" s="17"/>
    </row>
    <row r="40">
      <c r="B40" s="113" t="s">
        <v>64</v>
      </c>
      <c r="C40" s="155">
        <f t="shared" si="18"/>
        <v>908</v>
      </c>
      <c r="D40" s="114">
        <f>D39*0.4</f>
        <v>1.008</v>
      </c>
      <c r="E40" s="17">
        <f t="shared" si="19"/>
        <v>915.264</v>
      </c>
      <c r="F40" s="196">
        <v>800.0</v>
      </c>
      <c r="G40" s="116">
        <f>F40*F37</f>
        <v>915.404</v>
      </c>
      <c r="I40" s="117" t="s">
        <v>66</v>
      </c>
      <c r="J40" s="114"/>
      <c r="K40" s="114"/>
      <c r="L40" s="17">
        <f>J40*K40</f>
        <v>0</v>
      </c>
      <c r="M40" s="120"/>
      <c r="N40" s="197"/>
    </row>
    <row r="41">
      <c r="B41" s="113" t="s">
        <v>65</v>
      </c>
      <c r="C41" s="155">
        <f t="shared" si="18"/>
        <v>0</v>
      </c>
      <c r="D41" s="114">
        <f>D40*0.9</f>
        <v>0.9072</v>
      </c>
      <c r="E41" s="17">
        <f t="shared" si="19"/>
        <v>0</v>
      </c>
      <c r="F41" s="196">
        <v>0.0</v>
      </c>
      <c r="G41" s="116">
        <f>F41*F37</f>
        <v>0</v>
      </c>
      <c r="I41" s="125"/>
      <c r="J41" s="122">
        <f>sum(J37:J40)</f>
        <v>616</v>
      </c>
      <c r="K41" s="123"/>
      <c r="L41" s="123">
        <f>sum(L37:L40)</f>
        <v>1001.0365</v>
      </c>
      <c r="M41" s="120"/>
    </row>
    <row r="42">
      <c r="B42" s="113" t="s">
        <v>66</v>
      </c>
      <c r="C42" s="114"/>
      <c r="D42" s="114"/>
      <c r="E42" s="17">
        <f>C42*D42</f>
        <v>0</v>
      </c>
      <c r="F42" s="101"/>
      <c r="G42" s="101"/>
      <c r="I42" s="125"/>
      <c r="M42" s="132"/>
    </row>
    <row r="43">
      <c r="B43" s="198"/>
      <c r="C43" s="199">
        <f>sum(C39:C42)</f>
        <v>1289</v>
      </c>
      <c r="D43" s="200"/>
      <c r="E43" s="200">
        <f>sum(E39:E42)</f>
        <v>1875.384</v>
      </c>
      <c r="F43" s="201"/>
      <c r="G43" s="201"/>
      <c r="I43" s="133"/>
      <c r="J43" s="134"/>
      <c r="K43" s="135" t="s">
        <v>67</v>
      </c>
      <c r="L43" s="136">
        <f>L41/J41</f>
        <v>1.625059253</v>
      </c>
      <c r="M43" s="137"/>
    </row>
    <row r="44">
      <c r="B44" s="121"/>
      <c r="D44" s="182"/>
      <c r="E44" s="186"/>
      <c r="F44" s="202"/>
      <c r="G44" s="101"/>
    </row>
    <row r="45">
      <c r="B45" s="126"/>
      <c r="C45" s="127"/>
      <c r="D45" s="128" t="s">
        <v>67</v>
      </c>
      <c r="E45" s="203">
        <f>E43/C43</f>
        <v>1.454913887</v>
      </c>
      <c r="F45" s="127"/>
      <c r="G45" s="131"/>
      <c r="I45" s="102" t="s">
        <v>73</v>
      </c>
      <c r="J45" s="103">
        <f>IFERROR(__xludf.DUMMYFUNCTION("GOOGLEFINANCE(I45)"),406.1)</f>
        <v>406.1</v>
      </c>
      <c r="K45" s="104" t="s">
        <v>56</v>
      </c>
      <c r="L45" s="105">
        <v>1000.0</v>
      </c>
      <c r="M45" s="106"/>
    </row>
    <row r="46">
      <c r="B46" s="89"/>
      <c r="D46" s="204"/>
      <c r="E46" s="205"/>
      <c r="I46" s="111"/>
      <c r="J46" s="108" t="s">
        <v>19</v>
      </c>
      <c r="K46" s="108" t="s">
        <v>58</v>
      </c>
      <c r="L46" s="108" t="s">
        <v>59</v>
      </c>
      <c r="M46" s="112" t="s">
        <v>62</v>
      </c>
    </row>
    <row r="47">
      <c r="B47" s="138" t="str">
        <f>IFERROR(__xludf.DUMMYFUNCTION("GOOGLEFINANCE(B48,""NAME"")"),"Sonos Inc")</f>
        <v>Sonos Inc</v>
      </c>
      <c r="C47" s="206"/>
      <c r="D47" s="206"/>
      <c r="E47" s="206"/>
      <c r="F47" s="207" t="s">
        <v>54</v>
      </c>
      <c r="G47" s="106"/>
      <c r="I47" s="117" t="s">
        <v>63</v>
      </c>
      <c r="J47" s="114">
        <f t="shared" ref="J47:J49" si="20">round(M47/K47*100,0)</f>
        <v>74</v>
      </c>
      <c r="K47" s="115">
        <f>J45</f>
        <v>406.1</v>
      </c>
      <c r="L47" s="17">
        <f t="shared" ref="L47:L49" si="21">J47*K47/100</f>
        <v>300.514</v>
      </c>
      <c r="M47" s="119">
        <v>300.0</v>
      </c>
    </row>
    <row r="48">
      <c r="B48" s="208" t="s">
        <v>78</v>
      </c>
      <c r="C48" s="98">
        <f>IFERROR(__xludf.DUMMYFUNCTION("GOOGLEFINANCE(B48)"),15.52)</f>
        <v>15.52</v>
      </c>
      <c r="D48" s="192" t="s">
        <v>56</v>
      </c>
      <c r="E48" s="209">
        <v>500.0</v>
      </c>
      <c r="F48" s="194">
        <f>IFERROR(__xludf.DUMMYFUNCTION("GOOGLEFINANCE(""CURRENCY:GBPUSD"")"),1.35588)</f>
        <v>1.35588</v>
      </c>
      <c r="G48" s="120"/>
      <c r="I48" s="117" t="s">
        <v>64</v>
      </c>
      <c r="J48" s="114">
        <f t="shared" si="20"/>
        <v>148</v>
      </c>
      <c r="K48" s="114">
        <f t="shared" ref="K48:K49" si="22">K47*0.5</f>
        <v>203.05</v>
      </c>
      <c r="L48" s="17">
        <f t="shared" si="21"/>
        <v>300.514</v>
      </c>
      <c r="M48" s="119">
        <v>300.0</v>
      </c>
    </row>
    <row r="49">
      <c r="B49" s="111"/>
      <c r="C49" s="108" t="s">
        <v>19</v>
      </c>
      <c r="D49" s="108" t="s">
        <v>58</v>
      </c>
      <c r="E49" s="108" t="s">
        <v>71</v>
      </c>
      <c r="F49" s="152" t="s">
        <v>62</v>
      </c>
      <c r="G49" s="210" t="s">
        <v>61</v>
      </c>
      <c r="I49" s="117" t="s">
        <v>65</v>
      </c>
      <c r="J49" s="114">
        <f t="shared" si="20"/>
        <v>394</v>
      </c>
      <c r="K49" s="114">
        <f t="shared" si="22"/>
        <v>101.525</v>
      </c>
      <c r="L49" s="17">
        <f t="shared" si="21"/>
        <v>400.0085</v>
      </c>
      <c r="M49" s="119">
        <v>400.0</v>
      </c>
    </row>
    <row r="50">
      <c r="B50" s="117" t="s">
        <v>63</v>
      </c>
      <c r="C50" s="155">
        <f t="shared" ref="C50:C52" si="23">round(G50/D50,0)</f>
        <v>123</v>
      </c>
      <c r="D50" s="115">
        <v>1.1</v>
      </c>
      <c r="E50" s="17">
        <f t="shared" ref="E50:E52" si="24">D50*C50</f>
        <v>135.3</v>
      </c>
      <c r="F50" s="196">
        <v>100.0</v>
      </c>
      <c r="G50" s="211">
        <f>F50*F48</f>
        <v>135.588</v>
      </c>
      <c r="I50" s="117" t="s">
        <v>66</v>
      </c>
      <c r="J50" s="114"/>
      <c r="K50" s="114"/>
      <c r="L50" s="17">
        <f>J50*K50</f>
        <v>0</v>
      </c>
      <c r="M50" s="120"/>
    </row>
    <row r="51">
      <c r="B51" s="117" t="s">
        <v>64</v>
      </c>
      <c r="C51" s="155">
        <f t="shared" si="23"/>
        <v>370</v>
      </c>
      <c r="D51" s="114">
        <f t="shared" ref="D51:D52" si="25">D50*0.5</f>
        <v>0.55</v>
      </c>
      <c r="E51" s="17">
        <f t="shared" si="24"/>
        <v>203.5</v>
      </c>
      <c r="F51" s="196">
        <v>150.0</v>
      </c>
      <c r="G51" s="211">
        <f>F51*F48</f>
        <v>203.382</v>
      </c>
      <c r="I51" s="125"/>
      <c r="J51" s="122">
        <f>sum(J47:J50)</f>
        <v>616</v>
      </c>
      <c r="K51" s="123"/>
      <c r="L51" s="123">
        <f>sum(L47:L50)</f>
        <v>1001.0365</v>
      </c>
      <c r="M51" s="120"/>
    </row>
    <row r="52">
      <c r="B52" s="117" t="s">
        <v>65</v>
      </c>
      <c r="C52" s="155">
        <f t="shared" si="23"/>
        <v>1233</v>
      </c>
      <c r="D52" s="114">
        <f t="shared" si="25"/>
        <v>0.275</v>
      </c>
      <c r="E52" s="17">
        <f t="shared" si="24"/>
        <v>339.075</v>
      </c>
      <c r="F52" s="196">
        <v>250.0</v>
      </c>
      <c r="G52" s="211">
        <f>F52*F48</f>
        <v>338.97</v>
      </c>
      <c r="I52" s="125"/>
      <c r="M52" s="132"/>
    </row>
    <row r="53">
      <c r="B53" s="117" t="s">
        <v>66</v>
      </c>
      <c r="C53" s="114"/>
      <c r="D53" s="114"/>
      <c r="E53" s="17">
        <f>C53*D53</f>
        <v>0</v>
      </c>
      <c r="F53" s="101"/>
      <c r="G53" s="120"/>
      <c r="I53" s="133"/>
      <c r="J53" s="134"/>
      <c r="K53" s="135" t="s">
        <v>67</v>
      </c>
      <c r="L53" s="136">
        <f>L51/J51</f>
        <v>1.625059253</v>
      </c>
      <c r="M53" s="137"/>
    </row>
    <row r="54">
      <c r="B54" s="133"/>
      <c r="C54" s="199">
        <f>sum(C50:C53)</f>
        <v>1726</v>
      </c>
      <c r="D54" s="200"/>
      <c r="E54" s="200">
        <f>sum(E50:E53)</f>
        <v>677.875</v>
      </c>
      <c r="F54" s="201"/>
      <c r="G54" s="137"/>
    </row>
    <row r="55">
      <c r="B55" s="89"/>
      <c r="D55" s="182"/>
      <c r="E55" s="186"/>
      <c r="F55" s="202"/>
      <c r="I55" s="102" t="s">
        <v>73</v>
      </c>
      <c r="J55" s="103">
        <f>IFERROR(__xludf.DUMMYFUNCTION("GOOGLEFINANCE(I55)"),406.1)</f>
        <v>406.1</v>
      </c>
      <c r="K55" s="104" t="s">
        <v>56</v>
      </c>
      <c r="L55" s="105">
        <v>1000.0</v>
      </c>
      <c r="M55" s="106"/>
    </row>
    <row r="56">
      <c r="B56" s="89"/>
      <c r="D56" s="212" t="s">
        <v>67</v>
      </c>
      <c r="E56" s="213">
        <f>E54/C54</f>
        <v>0.3927433372</v>
      </c>
      <c r="I56" s="111"/>
      <c r="J56" s="108" t="s">
        <v>19</v>
      </c>
      <c r="K56" s="108" t="s">
        <v>58</v>
      </c>
      <c r="L56" s="108" t="s">
        <v>59</v>
      </c>
      <c r="M56" s="112" t="s">
        <v>62</v>
      </c>
    </row>
    <row r="57">
      <c r="B57" s="214"/>
      <c r="C57" s="215"/>
      <c r="D57" s="215"/>
      <c r="E57" s="191"/>
      <c r="I57" s="117" t="s">
        <v>63</v>
      </c>
      <c r="J57" s="114">
        <f t="shared" ref="J57:J59" si="26">round(M57/K57*100,0)</f>
        <v>74</v>
      </c>
      <c r="K57" s="115">
        <f>J55</f>
        <v>406.1</v>
      </c>
      <c r="L57" s="17">
        <f t="shared" ref="L57:L59" si="27">J57*K57/100</f>
        <v>300.514</v>
      </c>
      <c r="M57" s="119">
        <v>300.0</v>
      </c>
    </row>
    <row r="58">
      <c r="B58" s="138" t="str">
        <f>IFERROR(__xludf.DUMMYFUNCTION("GOOGLEFINANCE(B59,""NAME"")"),"Berkshire Hathaway Inc Cedear")</f>
        <v>Berkshire Hathaway Inc Cedear</v>
      </c>
      <c r="C58" s="206"/>
      <c r="D58" s="206"/>
      <c r="E58" s="206"/>
      <c r="F58" s="207" t="s">
        <v>54</v>
      </c>
      <c r="G58" s="106"/>
      <c r="I58" s="117" t="s">
        <v>64</v>
      </c>
      <c r="J58" s="114">
        <f t="shared" si="26"/>
        <v>148</v>
      </c>
      <c r="K58" s="114">
        <f t="shared" ref="K58:K59" si="28">K57*0.5</f>
        <v>203.05</v>
      </c>
      <c r="L58" s="17">
        <f t="shared" si="27"/>
        <v>300.514</v>
      </c>
      <c r="M58" s="119">
        <v>300.0</v>
      </c>
    </row>
    <row r="59">
      <c r="B59" s="208" t="s">
        <v>79</v>
      </c>
      <c r="C59" s="98">
        <f>IFERROR(__xludf.DUMMYFUNCTION("GOOGLEFINANCE(B59)"),33360.0)</f>
        <v>33360</v>
      </c>
      <c r="D59" s="192" t="s">
        <v>56</v>
      </c>
      <c r="E59" s="209">
        <v>500.0</v>
      </c>
      <c r="F59" s="194">
        <f>IFERROR(__xludf.DUMMYFUNCTION("GOOGLEFINANCE(""CURRENCY:GBPUSD"")"),1.35588)</f>
        <v>1.35588</v>
      </c>
      <c r="G59" s="120"/>
      <c r="I59" s="117" t="s">
        <v>65</v>
      </c>
      <c r="J59" s="114">
        <f t="shared" si="26"/>
        <v>394</v>
      </c>
      <c r="K59" s="114">
        <f t="shared" si="28"/>
        <v>101.525</v>
      </c>
      <c r="L59" s="17">
        <f t="shared" si="27"/>
        <v>400.0085</v>
      </c>
      <c r="M59" s="119">
        <v>400.0</v>
      </c>
    </row>
    <row r="60">
      <c r="B60" s="111"/>
      <c r="C60" s="108" t="s">
        <v>19</v>
      </c>
      <c r="D60" s="108" t="s">
        <v>58</v>
      </c>
      <c r="E60" s="108" t="s">
        <v>71</v>
      </c>
      <c r="F60" s="152" t="s">
        <v>62</v>
      </c>
      <c r="G60" s="210" t="s">
        <v>61</v>
      </c>
      <c r="I60" s="117" t="s">
        <v>66</v>
      </c>
      <c r="J60" s="114"/>
      <c r="K60" s="114"/>
      <c r="L60" s="17">
        <f>J60*K60</f>
        <v>0</v>
      </c>
      <c r="M60" s="120"/>
    </row>
    <row r="61">
      <c r="B61" s="117" t="s">
        <v>63</v>
      </c>
      <c r="C61" s="155">
        <f t="shared" ref="C61:C63" si="29">round(G61/D61,0)</f>
        <v>123</v>
      </c>
      <c r="D61" s="115">
        <v>1.1</v>
      </c>
      <c r="E61" s="17">
        <f t="shared" ref="E61:E63" si="30">D61*C61</f>
        <v>135.3</v>
      </c>
      <c r="F61" s="196">
        <v>100.0</v>
      </c>
      <c r="G61" s="211">
        <f>F61*F59</f>
        <v>135.588</v>
      </c>
      <c r="I61" s="125"/>
      <c r="J61" s="122">
        <f>sum(J57:J60)</f>
        <v>616</v>
      </c>
      <c r="K61" s="123"/>
      <c r="L61" s="123">
        <f>sum(L57:L60)</f>
        <v>1001.0365</v>
      </c>
      <c r="M61" s="120"/>
    </row>
    <row r="62">
      <c r="B62" s="117" t="s">
        <v>64</v>
      </c>
      <c r="C62" s="155">
        <f t="shared" si="29"/>
        <v>370</v>
      </c>
      <c r="D62" s="114">
        <f t="shared" ref="D62:D63" si="31">D61*0.5</f>
        <v>0.55</v>
      </c>
      <c r="E62" s="17">
        <f t="shared" si="30"/>
        <v>203.5</v>
      </c>
      <c r="F62" s="196">
        <v>150.0</v>
      </c>
      <c r="G62" s="211">
        <f>F62*F59</f>
        <v>203.382</v>
      </c>
      <c r="I62" s="125"/>
      <c r="M62" s="132"/>
    </row>
    <row r="63">
      <c r="B63" s="117" t="s">
        <v>65</v>
      </c>
      <c r="C63" s="155">
        <f t="shared" si="29"/>
        <v>1233</v>
      </c>
      <c r="D63" s="114">
        <f t="shared" si="31"/>
        <v>0.275</v>
      </c>
      <c r="E63" s="17">
        <f t="shared" si="30"/>
        <v>339.075</v>
      </c>
      <c r="F63" s="196">
        <v>250.0</v>
      </c>
      <c r="G63" s="211">
        <f>F63*F59</f>
        <v>338.97</v>
      </c>
      <c r="I63" s="133"/>
      <c r="J63" s="134"/>
      <c r="K63" s="135" t="s">
        <v>67</v>
      </c>
      <c r="L63" s="136">
        <f>L61/J61</f>
        <v>1.625059253</v>
      </c>
      <c r="M63" s="137"/>
    </row>
    <row r="64">
      <c r="B64" s="117" t="s">
        <v>66</v>
      </c>
      <c r="C64" s="114"/>
      <c r="D64" s="114"/>
      <c r="E64" s="17">
        <f>C64*D64</f>
        <v>0</v>
      </c>
      <c r="F64" s="101"/>
      <c r="G64" s="120"/>
    </row>
    <row r="65">
      <c r="B65" s="133"/>
      <c r="C65" s="199">
        <f>sum(C61:C64)</f>
        <v>1726</v>
      </c>
      <c r="D65" s="200"/>
      <c r="E65" s="200">
        <f>sum(E61:E64)</f>
        <v>677.875</v>
      </c>
      <c r="F65" s="201"/>
      <c r="G65" s="137"/>
      <c r="I65" s="102" t="s">
        <v>73</v>
      </c>
      <c r="J65" s="103">
        <f>IFERROR(__xludf.DUMMYFUNCTION("GOOGLEFINANCE(I65)"),406.1)</f>
        <v>406.1</v>
      </c>
      <c r="K65" s="104" t="s">
        <v>56</v>
      </c>
      <c r="L65" s="105">
        <v>1000.0</v>
      </c>
      <c r="M65" s="106"/>
    </row>
    <row r="66">
      <c r="B66" s="89"/>
      <c r="I66" s="111"/>
      <c r="J66" s="108" t="s">
        <v>19</v>
      </c>
      <c r="K66" s="108" t="s">
        <v>58</v>
      </c>
      <c r="L66" s="108" t="s">
        <v>59</v>
      </c>
      <c r="M66" s="112" t="s">
        <v>62</v>
      </c>
      <c r="N66" s="216"/>
    </row>
    <row r="67">
      <c r="B67" s="217" t="str">
        <f>IFERROR(__xludf.DUMMYFUNCTION("GOOGLEFINANCE(B68,""NAME"")"),"IDEX Metals Corp")</f>
        <v>IDEX Metals Corp</v>
      </c>
      <c r="C67" s="139"/>
      <c r="D67" s="218"/>
      <c r="E67" s="218"/>
      <c r="F67" s="219" t="s">
        <v>54</v>
      </c>
      <c r="G67" s="142"/>
      <c r="I67" s="117" t="s">
        <v>63</v>
      </c>
      <c r="J67" s="114">
        <f t="shared" ref="J67:J69" si="32">round(M67/K67*100,0)</f>
        <v>74</v>
      </c>
      <c r="K67" s="115">
        <f>J65</f>
        <v>406.1</v>
      </c>
      <c r="L67" s="17">
        <f t="shared" ref="L67:L69" si="33">J67*K67/100</f>
        <v>300.514</v>
      </c>
      <c r="M67" s="119">
        <v>300.0</v>
      </c>
    </row>
    <row r="68">
      <c r="B68" s="220" t="s">
        <v>80</v>
      </c>
      <c r="C68" s="221">
        <f>IFERROR(__xludf.DUMMYFUNCTION("GOOGLEFINANCE(B68)"),0.47)</f>
        <v>0.47</v>
      </c>
      <c r="D68" s="222" t="s">
        <v>56</v>
      </c>
      <c r="E68" s="223">
        <v>500.0</v>
      </c>
      <c r="F68" s="224">
        <f>IFERROR(__xludf.DUMMYFUNCTION("GOOGLEFINANCE(""CURRENCY:GBPUSD"")"),1.35588)</f>
        <v>1.35588</v>
      </c>
      <c r="G68" s="165"/>
      <c r="I68" s="117" t="s">
        <v>64</v>
      </c>
      <c r="J68" s="114">
        <f t="shared" si="32"/>
        <v>148</v>
      </c>
      <c r="K68" s="114">
        <f t="shared" ref="K68:K69" si="34">K67*0.5</f>
        <v>203.05</v>
      </c>
      <c r="L68" s="17">
        <f t="shared" si="33"/>
        <v>300.514</v>
      </c>
      <c r="M68" s="119">
        <v>300.0</v>
      </c>
    </row>
    <row r="69">
      <c r="B69" s="169"/>
      <c r="C69" s="150" t="s">
        <v>19</v>
      </c>
      <c r="D69" s="150" t="s">
        <v>58</v>
      </c>
      <c r="E69" s="150" t="s">
        <v>71</v>
      </c>
      <c r="F69" s="225" t="s">
        <v>62</v>
      </c>
      <c r="G69" s="226" t="s">
        <v>61</v>
      </c>
      <c r="I69" s="117" t="s">
        <v>65</v>
      </c>
      <c r="J69" s="114">
        <f t="shared" si="32"/>
        <v>394</v>
      </c>
      <c r="K69" s="114">
        <f t="shared" si="34"/>
        <v>101.525</v>
      </c>
      <c r="L69" s="17">
        <f t="shared" si="33"/>
        <v>400.0085</v>
      </c>
      <c r="M69" s="119">
        <v>400.0</v>
      </c>
    </row>
    <row r="70">
      <c r="B70" s="154" t="s">
        <v>63</v>
      </c>
      <c r="C70" s="227">
        <f t="shared" ref="C70:C72" si="35">round(G70/D70,0)</f>
        <v>123</v>
      </c>
      <c r="D70" s="228">
        <v>1.1</v>
      </c>
      <c r="E70" s="163">
        <f t="shared" ref="E70:E72" si="36">D70*C70</f>
        <v>135.3</v>
      </c>
      <c r="F70" s="229">
        <v>100.0</v>
      </c>
      <c r="G70" s="162">
        <f>F70*F68</f>
        <v>135.588</v>
      </c>
      <c r="I70" s="117" t="s">
        <v>66</v>
      </c>
      <c r="J70" s="114"/>
      <c r="K70" s="114"/>
      <c r="L70" s="17">
        <f>J70*K70</f>
        <v>0</v>
      </c>
      <c r="M70" s="120"/>
    </row>
    <row r="71">
      <c r="B71" s="154" t="s">
        <v>64</v>
      </c>
      <c r="C71" s="227">
        <f t="shared" si="35"/>
        <v>370</v>
      </c>
      <c r="D71" s="227">
        <f t="shared" ref="D71:D72" si="37">D70*0.5</f>
        <v>0.55</v>
      </c>
      <c r="E71" s="163">
        <f t="shared" si="36"/>
        <v>203.5</v>
      </c>
      <c r="F71" s="229">
        <v>150.0</v>
      </c>
      <c r="G71" s="162">
        <f>F71*F68</f>
        <v>203.382</v>
      </c>
      <c r="I71" s="125"/>
      <c r="J71" s="122">
        <f>sum(J67:J70)</f>
        <v>616</v>
      </c>
      <c r="K71" s="123"/>
      <c r="L71" s="123">
        <f>sum(L67:L70)</f>
        <v>1001.0365</v>
      </c>
      <c r="M71" s="120"/>
    </row>
    <row r="72">
      <c r="B72" s="154" t="s">
        <v>65</v>
      </c>
      <c r="C72" s="227">
        <f t="shared" si="35"/>
        <v>1233</v>
      </c>
      <c r="D72" s="227">
        <f t="shared" si="37"/>
        <v>0.275</v>
      </c>
      <c r="E72" s="163">
        <f t="shared" si="36"/>
        <v>339.075</v>
      </c>
      <c r="F72" s="229">
        <v>250.0</v>
      </c>
      <c r="G72" s="162">
        <f>F72*F68</f>
        <v>338.97</v>
      </c>
      <c r="I72" s="125"/>
      <c r="M72" s="132"/>
    </row>
    <row r="73">
      <c r="B73" s="154" t="s">
        <v>66</v>
      </c>
      <c r="C73" s="230"/>
      <c r="D73" s="230"/>
      <c r="E73" s="231">
        <f>C73*D73</f>
        <v>0</v>
      </c>
      <c r="F73" s="232"/>
      <c r="G73" s="165"/>
      <c r="I73" s="133"/>
      <c r="J73" s="134"/>
      <c r="K73" s="135" t="s">
        <v>67</v>
      </c>
      <c r="L73" s="136">
        <f>L71/J71</f>
        <v>1.625059253</v>
      </c>
      <c r="M73" s="137"/>
    </row>
    <row r="74">
      <c r="B74" s="173"/>
      <c r="C74" s="233">
        <f>sum(C70:C73)</f>
        <v>1726</v>
      </c>
      <c r="D74" s="174"/>
      <c r="E74" s="174">
        <f>sum(E70:E73)</f>
        <v>677.875</v>
      </c>
      <c r="F74" s="234"/>
      <c r="G74" s="178"/>
    </row>
    <row r="75">
      <c r="B75" s="14"/>
      <c r="C75" s="14"/>
      <c r="D75" s="170"/>
      <c r="E75" s="171"/>
      <c r="F75" s="172"/>
      <c r="G75" s="14"/>
      <c r="I75" s="102" t="s">
        <v>73</v>
      </c>
      <c r="J75" s="103">
        <f>IFERROR(__xludf.DUMMYFUNCTION("GOOGLEFINANCE(I75)"),406.1)</f>
        <v>406.1</v>
      </c>
      <c r="K75" s="104" t="s">
        <v>56</v>
      </c>
      <c r="L75" s="105">
        <v>1000.0</v>
      </c>
      <c r="M75" s="106"/>
    </row>
    <row r="76">
      <c r="B76" s="14"/>
      <c r="C76" s="14"/>
      <c r="D76" s="235" t="s">
        <v>67</v>
      </c>
      <c r="E76" s="236">
        <f>E74/C74</f>
        <v>0.3927433372</v>
      </c>
      <c r="F76" s="14"/>
      <c r="G76" s="14"/>
      <c r="I76" s="111"/>
      <c r="J76" s="108" t="s">
        <v>19</v>
      </c>
      <c r="K76" s="108" t="s">
        <v>58</v>
      </c>
      <c r="L76" s="108" t="s">
        <v>59</v>
      </c>
      <c r="M76" s="112" t="s">
        <v>62</v>
      </c>
    </row>
    <row r="77">
      <c r="B77" s="89"/>
      <c r="I77" s="117" t="s">
        <v>63</v>
      </c>
      <c r="J77" s="114">
        <f t="shared" ref="J77:J79" si="38">round(M77/K77*100,0)</f>
        <v>74</v>
      </c>
      <c r="K77" s="115">
        <f>J75</f>
        <v>406.1</v>
      </c>
      <c r="L77" s="17">
        <f t="shared" ref="L77:L79" si="39">J77*K77/100</f>
        <v>300.514</v>
      </c>
      <c r="M77" s="119">
        <v>300.0</v>
      </c>
    </row>
    <row r="78">
      <c r="B78" s="217" t="str">
        <f>IFERROR(__xludf.DUMMYFUNCTION("GOOGLEFINANCE(B79,""NAME"")"),"IDEX Metals Corp")</f>
        <v>IDEX Metals Corp</v>
      </c>
      <c r="C78" s="139"/>
      <c r="D78" s="218"/>
      <c r="E78" s="218"/>
      <c r="F78" s="219" t="s">
        <v>54</v>
      </c>
      <c r="G78" s="142"/>
      <c r="I78" s="117" t="s">
        <v>64</v>
      </c>
      <c r="J78" s="114">
        <f t="shared" si="38"/>
        <v>148</v>
      </c>
      <c r="K78" s="114">
        <f t="shared" ref="K78:K79" si="40">K77*0.5</f>
        <v>203.05</v>
      </c>
      <c r="L78" s="17">
        <f t="shared" si="39"/>
        <v>300.514</v>
      </c>
      <c r="M78" s="119">
        <v>300.0</v>
      </c>
    </row>
    <row r="79">
      <c r="B79" s="220" t="s">
        <v>80</v>
      </c>
      <c r="C79" s="221">
        <f>IFERROR(__xludf.DUMMYFUNCTION("GOOGLEFINANCE(B79)"),0.47)</f>
        <v>0.47</v>
      </c>
      <c r="D79" s="222" t="s">
        <v>56</v>
      </c>
      <c r="E79" s="223">
        <v>500.0</v>
      </c>
      <c r="F79" s="224">
        <f>IFERROR(__xludf.DUMMYFUNCTION("GOOGLEFINANCE(""CURRENCY:GBPUSD"")"),1.35588)</f>
        <v>1.35588</v>
      </c>
      <c r="G79" s="165"/>
      <c r="I79" s="117" t="s">
        <v>65</v>
      </c>
      <c r="J79" s="114">
        <f t="shared" si="38"/>
        <v>394</v>
      </c>
      <c r="K79" s="114">
        <f t="shared" si="40"/>
        <v>101.525</v>
      </c>
      <c r="L79" s="17">
        <f t="shared" si="39"/>
        <v>400.0085</v>
      </c>
      <c r="M79" s="119">
        <v>400.0</v>
      </c>
    </row>
    <row r="80">
      <c r="B80" s="169"/>
      <c r="C80" s="150" t="s">
        <v>19</v>
      </c>
      <c r="D80" s="150" t="s">
        <v>58</v>
      </c>
      <c r="E80" s="150" t="s">
        <v>71</v>
      </c>
      <c r="F80" s="225" t="s">
        <v>62</v>
      </c>
      <c r="G80" s="226" t="s">
        <v>61</v>
      </c>
      <c r="I80" s="117" t="s">
        <v>66</v>
      </c>
      <c r="J80" s="114"/>
      <c r="K80" s="114"/>
      <c r="L80" s="17">
        <f>J80*K80</f>
        <v>0</v>
      </c>
      <c r="M80" s="120"/>
    </row>
    <row r="81">
      <c r="B81" s="154" t="s">
        <v>63</v>
      </c>
      <c r="C81" s="227">
        <f t="shared" ref="C81:C83" si="41">round(G81/D81,0)</f>
        <v>123</v>
      </c>
      <c r="D81" s="228">
        <v>1.1</v>
      </c>
      <c r="E81" s="163">
        <f t="shared" ref="E81:E83" si="42">D81*C81</f>
        <v>135.3</v>
      </c>
      <c r="F81" s="229">
        <v>100.0</v>
      </c>
      <c r="G81" s="162">
        <f>F81*F79</f>
        <v>135.588</v>
      </c>
      <c r="I81" s="125"/>
      <c r="J81" s="122">
        <f>sum(J77:J80)</f>
        <v>616</v>
      </c>
      <c r="K81" s="123"/>
      <c r="L81" s="123">
        <f>sum(L77:L80)</f>
        <v>1001.0365</v>
      </c>
      <c r="M81" s="120"/>
    </row>
    <row r="82">
      <c r="B82" s="154" t="s">
        <v>64</v>
      </c>
      <c r="C82" s="227">
        <f t="shared" si="41"/>
        <v>370</v>
      </c>
      <c r="D82" s="227">
        <f t="shared" ref="D82:D83" si="43">D81*0.5</f>
        <v>0.55</v>
      </c>
      <c r="E82" s="163">
        <f t="shared" si="42"/>
        <v>203.5</v>
      </c>
      <c r="F82" s="229">
        <v>150.0</v>
      </c>
      <c r="G82" s="162">
        <f>F82*F79</f>
        <v>203.382</v>
      </c>
      <c r="I82" s="125"/>
      <c r="M82" s="132"/>
    </row>
    <row r="83">
      <c r="B83" s="154" t="s">
        <v>65</v>
      </c>
      <c r="C83" s="227">
        <f t="shared" si="41"/>
        <v>1233</v>
      </c>
      <c r="D83" s="227">
        <f t="shared" si="43"/>
        <v>0.275</v>
      </c>
      <c r="E83" s="163">
        <f t="shared" si="42"/>
        <v>339.075</v>
      </c>
      <c r="F83" s="229">
        <v>250.0</v>
      </c>
      <c r="G83" s="162">
        <f>F83*F79</f>
        <v>338.97</v>
      </c>
      <c r="I83" s="133"/>
      <c r="J83" s="134"/>
      <c r="K83" s="135" t="s">
        <v>67</v>
      </c>
      <c r="L83" s="136">
        <f>L81/J81</f>
        <v>1.625059253</v>
      </c>
      <c r="M83" s="137"/>
    </row>
    <row r="84">
      <c r="B84" s="154" t="s">
        <v>66</v>
      </c>
      <c r="C84" s="230"/>
      <c r="D84" s="230"/>
      <c r="E84" s="231">
        <f>C84*D84</f>
        <v>0</v>
      </c>
      <c r="F84" s="232"/>
      <c r="G84" s="165"/>
    </row>
    <row r="85">
      <c r="B85" s="173"/>
      <c r="C85" s="233">
        <f>sum(C81:C84)</f>
        <v>1726</v>
      </c>
      <c r="D85" s="174"/>
      <c r="E85" s="174">
        <f>sum(E81:E84)</f>
        <v>677.875</v>
      </c>
      <c r="F85" s="234"/>
      <c r="G85" s="178"/>
      <c r="I85" s="102" t="s">
        <v>73</v>
      </c>
      <c r="J85" s="103">
        <f>IFERROR(__xludf.DUMMYFUNCTION("GOOGLEFINANCE(I85)"),406.1)</f>
        <v>406.1</v>
      </c>
      <c r="K85" s="104" t="s">
        <v>56</v>
      </c>
      <c r="L85" s="105">
        <v>1000.0</v>
      </c>
      <c r="M85" s="106"/>
    </row>
    <row r="86">
      <c r="B86" s="14"/>
      <c r="C86" s="14"/>
      <c r="D86" s="170"/>
      <c r="E86" s="171"/>
      <c r="F86" s="172"/>
      <c r="G86" s="14"/>
      <c r="I86" s="111"/>
      <c r="J86" s="108" t="s">
        <v>19</v>
      </c>
      <c r="K86" s="108" t="s">
        <v>58</v>
      </c>
      <c r="L86" s="108" t="s">
        <v>59</v>
      </c>
      <c r="M86" s="112" t="s">
        <v>62</v>
      </c>
    </row>
    <row r="87">
      <c r="B87" s="14"/>
      <c r="C87" s="14"/>
      <c r="D87" s="235" t="s">
        <v>67</v>
      </c>
      <c r="E87" s="236">
        <f>E85/C85</f>
        <v>0.3927433372</v>
      </c>
      <c r="F87" s="14"/>
      <c r="G87" s="14"/>
      <c r="I87" s="117" t="s">
        <v>63</v>
      </c>
      <c r="J87" s="114">
        <f t="shared" ref="J87:J89" si="44">round(M87/K87*100,0)</f>
        <v>74</v>
      </c>
      <c r="K87" s="115">
        <f>J85</f>
        <v>406.1</v>
      </c>
      <c r="L87" s="17">
        <f t="shared" ref="L87:L89" si="45">J87*K87/100</f>
        <v>300.514</v>
      </c>
      <c r="M87" s="119">
        <v>300.0</v>
      </c>
    </row>
    <row r="88">
      <c r="B88" s="89"/>
      <c r="I88" s="117" t="s">
        <v>64</v>
      </c>
      <c r="J88" s="114">
        <f t="shared" si="44"/>
        <v>148</v>
      </c>
      <c r="K88" s="114">
        <f t="shared" ref="K88:K89" si="46">K87*0.5</f>
        <v>203.05</v>
      </c>
      <c r="L88" s="17">
        <f t="shared" si="45"/>
        <v>300.514</v>
      </c>
      <c r="M88" s="119">
        <v>300.0</v>
      </c>
    </row>
    <row r="89">
      <c r="B89" s="89"/>
      <c r="I89" s="117" t="s">
        <v>65</v>
      </c>
      <c r="J89" s="114">
        <f t="shared" si="44"/>
        <v>394</v>
      </c>
      <c r="K89" s="114">
        <f t="shared" si="46"/>
        <v>101.525</v>
      </c>
      <c r="L89" s="17">
        <f t="shared" si="45"/>
        <v>400.0085</v>
      </c>
      <c r="M89" s="119">
        <v>400.0</v>
      </c>
    </row>
    <row r="90">
      <c r="B90" s="89"/>
      <c r="I90" s="117" t="s">
        <v>66</v>
      </c>
      <c r="J90" s="114"/>
      <c r="K90" s="114"/>
      <c r="L90" s="17">
        <f>J90*K90</f>
        <v>0</v>
      </c>
      <c r="M90" s="120"/>
    </row>
    <row r="91">
      <c r="B91" s="89"/>
      <c r="I91" s="125"/>
      <c r="J91" s="122">
        <f>sum(J87:J90)</f>
        <v>616</v>
      </c>
      <c r="K91" s="123"/>
      <c r="L91" s="123">
        <f>sum(L87:L90)</f>
        <v>1001.0365</v>
      </c>
      <c r="M91" s="120"/>
    </row>
    <row r="92">
      <c r="B92" s="89"/>
      <c r="I92" s="125"/>
      <c r="M92" s="132"/>
    </row>
    <row r="93">
      <c r="B93" s="89"/>
      <c r="I93" s="133"/>
      <c r="J93" s="134"/>
      <c r="K93" s="135" t="s">
        <v>67</v>
      </c>
      <c r="L93" s="136">
        <f t="shared" ref="L93:L94" si="47">L91/J91</f>
        <v>1.625059253</v>
      </c>
      <c r="M93" s="137"/>
    </row>
    <row r="94">
      <c r="B94" s="89"/>
      <c r="I94" s="173"/>
      <c r="J94" s="174"/>
      <c r="K94" s="175" t="s">
        <v>67</v>
      </c>
      <c r="L94" s="185" t="str">
        <f t="shared" si="47"/>
        <v>#DIV/0!</v>
      </c>
      <c r="M94" s="178"/>
    </row>
    <row r="95">
      <c r="B95" s="89"/>
    </row>
    <row r="96">
      <c r="B96" s="89"/>
      <c r="I96" s="102" t="s">
        <v>73</v>
      </c>
      <c r="J96" s="103">
        <f>IFERROR(__xludf.DUMMYFUNCTION("GOOGLEFINANCE(I96)"),406.1)</f>
        <v>406.1</v>
      </c>
      <c r="K96" s="104" t="s">
        <v>56</v>
      </c>
      <c r="L96" s="105">
        <v>1000.0</v>
      </c>
      <c r="M96" s="106"/>
    </row>
    <row r="97">
      <c r="B97" s="89"/>
      <c r="I97" s="111"/>
      <c r="J97" s="108" t="s">
        <v>19</v>
      </c>
      <c r="K97" s="108" t="s">
        <v>58</v>
      </c>
      <c r="L97" s="108" t="s">
        <v>59</v>
      </c>
      <c r="M97" s="112" t="s">
        <v>62</v>
      </c>
    </row>
    <row r="98">
      <c r="B98" s="89"/>
      <c r="I98" s="117" t="s">
        <v>63</v>
      </c>
      <c r="J98" s="114">
        <f t="shared" ref="J98:J100" si="48">round(M98/K98*100,0)</f>
        <v>74</v>
      </c>
      <c r="K98" s="115">
        <f>J96</f>
        <v>406.1</v>
      </c>
      <c r="L98" s="17">
        <f t="shared" ref="L98:L100" si="49">J98*K98/100</f>
        <v>300.514</v>
      </c>
      <c r="M98" s="119">
        <v>300.0</v>
      </c>
    </row>
    <row r="99">
      <c r="B99" s="89"/>
      <c r="I99" s="117" t="s">
        <v>64</v>
      </c>
      <c r="J99" s="114">
        <f t="shared" si="48"/>
        <v>148</v>
      </c>
      <c r="K99" s="114">
        <f t="shared" ref="K99:K100" si="50">K98*0.5</f>
        <v>203.05</v>
      </c>
      <c r="L99" s="17">
        <f t="shared" si="49"/>
        <v>300.514</v>
      </c>
      <c r="M99" s="119">
        <v>300.0</v>
      </c>
    </row>
    <row r="100">
      <c r="B100" s="89"/>
      <c r="I100" s="117" t="s">
        <v>65</v>
      </c>
      <c r="J100" s="114">
        <f t="shared" si="48"/>
        <v>394</v>
      </c>
      <c r="K100" s="114">
        <f t="shared" si="50"/>
        <v>101.525</v>
      </c>
      <c r="L100" s="17">
        <f t="shared" si="49"/>
        <v>400.0085</v>
      </c>
      <c r="M100" s="119">
        <v>400.0</v>
      </c>
    </row>
    <row r="101">
      <c r="B101" s="89"/>
      <c r="I101" s="117" t="s">
        <v>66</v>
      </c>
      <c r="J101" s="114"/>
      <c r="K101" s="114"/>
      <c r="L101" s="17">
        <f>J101*K101</f>
        <v>0</v>
      </c>
      <c r="M101" s="120"/>
    </row>
    <row r="102">
      <c r="B102" s="89"/>
      <c r="I102" s="125"/>
      <c r="J102" s="122">
        <f>sum(J98:J101)</f>
        <v>616</v>
      </c>
      <c r="K102" s="123"/>
      <c r="L102" s="123">
        <f>sum(L98:L101)</f>
        <v>1001.0365</v>
      </c>
      <c r="M102" s="120"/>
    </row>
    <row r="103">
      <c r="B103" s="89"/>
      <c r="I103" s="125"/>
      <c r="M103" s="132"/>
    </row>
    <row r="104">
      <c r="B104" s="89"/>
      <c r="I104" s="133"/>
      <c r="J104" s="134"/>
      <c r="K104" s="135" t="s">
        <v>67</v>
      </c>
      <c r="L104" s="136">
        <f>L102/J102</f>
        <v>1.625059253</v>
      </c>
      <c r="M104" s="137"/>
    </row>
    <row r="105">
      <c r="B105" s="89"/>
      <c r="I105" s="237"/>
      <c r="J105" s="108"/>
      <c r="K105" s="108"/>
      <c r="L105" s="108"/>
      <c r="M105" s="109"/>
    </row>
    <row r="106">
      <c r="B106" s="89"/>
      <c r="I106" s="102" t="s">
        <v>73</v>
      </c>
      <c r="J106" s="103">
        <f>IFERROR(__xludf.DUMMYFUNCTION("GOOGLEFINANCE(I106)"),406.1)</f>
        <v>406.1</v>
      </c>
      <c r="K106" s="104" t="s">
        <v>56</v>
      </c>
      <c r="L106" s="105">
        <v>1000.0</v>
      </c>
      <c r="M106" s="106"/>
    </row>
    <row r="107">
      <c r="B107" s="89"/>
      <c r="I107" s="111"/>
      <c r="J107" s="108" t="s">
        <v>19</v>
      </c>
      <c r="K107" s="108" t="s">
        <v>58</v>
      </c>
      <c r="L107" s="108" t="s">
        <v>59</v>
      </c>
      <c r="M107" s="112" t="s">
        <v>62</v>
      </c>
    </row>
    <row r="108">
      <c r="B108" s="89"/>
      <c r="I108" s="117" t="s">
        <v>63</v>
      </c>
      <c r="J108" s="114">
        <f t="shared" ref="J108:J110" si="51">round(M108/K108*100,0)</f>
        <v>74</v>
      </c>
      <c r="K108" s="115">
        <f>J106</f>
        <v>406.1</v>
      </c>
      <c r="L108" s="17">
        <f t="shared" ref="L108:L110" si="52">J108*K108/100</f>
        <v>300.514</v>
      </c>
      <c r="M108" s="119">
        <v>300.0</v>
      </c>
    </row>
    <row r="109">
      <c r="B109" s="89"/>
      <c r="I109" s="117" t="s">
        <v>64</v>
      </c>
      <c r="J109" s="114">
        <f t="shared" si="51"/>
        <v>148</v>
      </c>
      <c r="K109" s="114">
        <f t="shared" ref="K109:K110" si="53">K108*0.5</f>
        <v>203.05</v>
      </c>
      <c r="L109" s="17">
        <f t="shared" si="52"/>
        <v>300.514</v>
      </c>
      <c r="M109" s="119">
        <v>300.0</v>
      </c>
    </row>
    <row r="110">
      <c r="B110" s="89"/>
      <c r="I110" s="117" t="s">
        <v>65</v>
      </c>
      <c r="J110" s="114">
        <f t="shared" si="51"/>
        <v>394</v>
      </c>
      <c r="K110" s="114">
        <f t="shared" si="53"/>
        <v>101.525</v>
      </c>
      <c r="L110" s="17">
        <f t="shared" si="52"/>
        <v>400.0085</v>
      </c>
      <c r="M110" s="119">
        <v>400.0</v>
      </c>
    </row>
    <row r="111">
      <c r="B111" s="89"/>
      <c r="I111" s="117" t="s">
        <v>66</v>
      </c>
      <c r="J111" s="114"/>
      <c r="K111" s="114"/>
      <c r="L111" s="17">
        <f>J111*K111</f>
        <v>0</v>
      </c>
      <c r="M111" s="120"/>
    </row>
    <row r="112">
      <c r="B112" s="89"/>
      <c r="I112" s="125"/>
      <c r="J112" s="122">
        <f>sum(J108:J111)</f>
        <v>616</v>
      </c>
      <c r="K112" s="123"/>
      <c r="L112" s="123">
        <f>sum(L108:L111)</f>
        <v>1001.0365</v>
      </c>
      <c r="M112" s="120"/>
    </row>
    <row r="113">
      <c r="B113" s="89"/>
      <c r="I113" s="125"/>
      <c r="M113" s="132"/>
    </row>
    <row r="114">
      <c r="B114" s="89"/>
      <c r="I114" s="133"/>
      <c r="J114" s="134"/>
      <c r="K114" s="135" t="s">
        <v>67</v>
      </c>
      <c r="L114" s="136">
        <f>L112/J112</f>
        <v>1.625059253</v>
      </c>
      <c r="M114" s="137"/>
    </row>
    <row r="115">
      <c r="B115" s="89"/>
    </row>
    <row r="116">
      <c r="B116" s="89"/>
      <c r="I116" s="238" t="s">
        <v>81</v>
      </c>
      <c r="J116" s="239" t="str">
        <f>IFERROR(__xludf.DUMMYFUNCTION("GOOGLEFINANCE(I116)"),"#N/A")</f>
        <v>#N/A</v>
      </c>
      <c r="K116" s="240" t="s">
        <v>56</v>
      </c>
      <c r="L116" s="241">
        <v>1000.0</v>
      </c>
      <c r="M116" s="242"/>
      <c r="N116" s="95"/>
    </row>
    <row r="117">
      <c r="B117" s="89"/>
      <c r="I117" s="243"/>
      <c r="J117" s="151" t="s">
        <v>19</v>
      </c>
      <c r="K117" s="151" t="s">
        <v>58</v>
      </c>
      <c r="L117" s="151" t="s">
        <v>59</v>
      </c>
      <c r="M117" s="244" t="s">
        <v>82</v>
      </c>
      <c r="N117" s="245" t="s">
        <v>83</v>
      </c>
    </row>
    <row r="118">
      <c r="B118" s="89"/>
      <c r="I118" s="246" t="s">
        <v>63</v>
      </c>
      <c r="J118" s="155">
        <v>46.0</v>
      </c>
      <c r="K118" s="156">
        <v>0.39</v>
      </c>
      <c r="L118" s="163">
        <f t="shared" ref="L118:L121" si="54">J118*K118</f>
        <v>17.94</v>
      </c>
      <c r="M118" s="56">
        <f t="shared" ref="M118:M120" si="55">N118*$M$124</f>
        <v>17.94</v>
      </c>
      <c r="N118" s="247">
        <f>L118/M124</f>
        <v>9.702043432</v>
      </c>
    </row>
    <row r="119">
      <c r="B119" s="89"/>
      <c r="I119" s="246" t="s">
        <v>64</v>
      </c>
      <c r="J119" s="155">
        <f t="shared" ref="J119:J120" si="56">round(M119/K119,0)</f>
        <v>2412</v>
      </c>
      <c r="K119" s="155">
        <v>0.23</v>
      </c>
      <c r="L119" s="163">
        <f t="shared" si="54"/>
        <v>554.76</v>
      </c>
      <c r="M119" s="56">
        <f t="shared" si="55"/>
        <v>554.7285</v>
      </c>
      <c r="N119" s="247">
        <v>300.0</v>
      </c>
    </row>
    <row r="120">
      <c r="B120" s="89"/>
      <c r="I120" s="246" t="s">
        <v>65</v>
      </c>
      <c r="J120" s="155">
        <f t="shared" si="56"/>
        <v>12759</v>
      </c>
      <c r="K120" s="155">
        <v>0.1</v>
      </c>
      <c r="L120" s="163">
        <f t="shared" si="54"/>
        <v>1275.9</v>
      </c>
      <c r="M120" s="56">
        <f t="shared" si="55"/>
        <v>1275.87555</v>
      </c>
      <c r="N120" s="247">
        <v>690.0</v>
      </c>
    </row>
    <row r="121">
      <c r="B121" s="89"/>
      <c r="I121" s="246" t="s">
        <v>66</v>
      </c>
      <c r="J121" s="227"/>
      <c r="K121" s="227"/>
      <c r="L121" s="163">
        <f t="shared" si="54"/>
        <v>0</v>
      </c>
      <c r="N121" s="232"/>
    </row>
    <row r="122">
      <c r="B122" s="89"/>
      <c r="I122" s="248"/>
      <c r="J122" s="249">
        <f>sum(J118:J121)</f>
        <v>15217</v>
      </c>
      <c r="K122" s="168"/>
      <c r="L122" s="168">
        <f>sum(L118:L121)</f>
        <v>1848.6</v>
      </c>
      <c r="N122" s="101"/>
    </row>
    <row r="123">
      <c r="B123" s="89"/>
      <c r="I123" s="107"/>
      <c r="M123" s="250" t="s">
        <v>84</v>
      </c>
      <c r="N123" s="101"/>
    </row>
    <row r="124">
      <c r="B124" s="89"/>
      <c r="I124" s="251"/>
      <c r="J124" s="252"/>
      <c r="K124" s="253" t="s">
        <v>67</v>
      </c>
      <c r="L124" s="254">
        <f>L122/J122</f>
        <v>0.1214825524</v>
      </c>
      <c r="M124" s="255">
        <f>IFERROR(__xludf.DUMMYFUNCTION("GOOGLEFINANCE(""currency:gbpcad"")"),1.849095)</f>
        <v>1.849095</v>
      </c>
      <c r="N124" s="131"/>
    </row>
    <row r="125">
      <c r="B125" s="89"/>
    </row>
    <row r="126">
      <c r="B126" s="89"/>
      <c r="I126" s="102" t="s">
        <v>73</v>
      </c>
      <c r="J126" s="103">
        <f>IFERROR(__xludf.DUMMYFUNCTION("GOOGLEFINANCE(I126)"),406.1)</f>
        <v>406.1</v>
      </c>
      <c r="K126" s="104" t="s">
        <v>56</v>
      </c>
      <c r="L126" s="105">
        <v>1000.0</v>
      </c>
      <c r="M126" s="106"/>
    </row>
    <row r="127">
      <c r="B127" s="89"/>
      <c r="I127" s="111"/>
      <c r="J127" s="108" t="s">
        <v>19</v>
      </c>
      <c r="K127" s="108" t="s">
        <v>58</v>
      </c>
      <c r="L127" s="108" t="s">
        <v>59</v>
      </c>
      <c r="M127" s="112" t="s">
        <v>62</v>
      </c>
    </row>
    <row r="128">
      <c r="B128" s="89"/>
      <c r="I128" s="117" t="s">
        <v>63</v>
      </c>
      <c r="J128" s="114">
        <f t="shared" ref="J128:J130" si="57">round(M128/K128*100,0)</f>
        <v>74</v>
      </c>
      <c r="K128" s="115">
        <f>J126</f>
        <v>406.1</v>
      </c>
      <c r="L128" s="17">
        <f t="shared" ref="L128:L130" si="58">J128*K128/100</f>
        <v>300.514</v>
      </c>
      <c r="M128" s="119">
        <v>300.0</v>
      </c>
    </row>
    <row r="129">
      <c r="B129" s="89"/>
      <c r="I129" s="117" t="s">
        <v>64</v>
      </c>
      <c r="J129" s="114">
        <f t="shared" si="57"/>
        <v>148</v>
      </c>
      <c r="K129" s="114">
        <f t="shared" ref="K129:K130" si="59">K128*0.5</f>
        <v>203.05</v>
      </c>
      <c r="L129" s="17">
        <f t="shared" si="58"/>
        <v>300.514</v>
      </c>
      <c r="M129" s="119">
        <v>300.0</v>
      </c>
    </row>
    <row r="130">
      <c r="B130" s="89"/>
      <c r="I130" s="117" t="s">
        <v>65</v>
      </c>
      <c r="J130" s="114">
        <f t="shared" si="57"/>
        <v>394</v>
      </c>
      <c r="K130" s="114">
        <f t="shared" si="59"/>
        <v>101.525</v>
      </c>
      <c r="L130" s="17">
        <f t="shared" si="58"/>
        <v>400.0085</v>
      </c>
      <c r="M130" s="119">
        <v>400.0</v>
      </c>
    </row>
    <row r="131">
      <c r="B131" s="89"/>
      <c r="I131" s="117" t="s">
        <v>66</v>
      </c>
      <c r="J131" s="114"/>
      <c r="K131" s="114"/>
      <c r="L131" s="17">
        <f>J131*K131</f>
        <v>0</v>
      </c>
      <c r="M131" s="120"/>
    </row>
    <row r="132">
      <c r="B132" s="89"/>
      <c r="I132" s="125"/>
      <c r="J132" s="122">
        <f>sum(J128:J131)</f>
        <v>616</v>
      </c>
      <c r="K132" s="123"/>
      <c r="L132" s="123">
        <f>sum(L128:L131)</f>
        <v>1001.0365</v>
      </c>
      <c r="M132" s="120"/>
    </row>
    <row r="133">
      <c r="B133" s="89"/>
      <c r="I133" s="125"/>
      <c r="M133" s="132"/>
    </row>
    <row r="134">
      <c r="B134" s="89"/>
      <c r="I134" s="133"/>
      <c r="J134" s="134"/>
      <c r="K134" s="135" t="s">
        <v>67</v>
      </c>
      <c r="L134" s="136">
        <f>L132/J132</f>
        <v>1.625059253</v>
      </c>
      <c r="M134" s="137"/>
    </row>
    <row r="135">
      <c r="B135" s="89"/>
    </row>
    <row r="136">
      <c r="B136" s="89"/>
      <c r="I136" s="256" t="s">
        <v>85</v>
      </c>
      <c r="J136" s="257">
        <f>IFERROR(__xludf.DUMMYFUNCTION("GOOGLEFINANCE(I136)"),1258.2)</f>
        <v>1258.2</v>
      </c>
      <c r="K136" s="258" t="s">
        <v>56</v>
      </c>
      <c r="L136" s="259">
        <v>1000.0</v>
      </c>
      <c r="M136" s="142"/>
    </row>
    <row r="137">
      <c r="B137" s="89"/>
      <c r="I137" s="169"/>
      <c r="J137" s="150" t="s">
        <v>19</v>
      </c>
      <c r="K137" s="150" t="s">
        <v>58</v>
      </c>
      <c r="L137" s="150" t="s">
        <v>59</v>
      </c>
      <c r="M137" s="260" t="s">
        <v>86</v>
      </c>
    </row>
    <row r="138">
      <c r="B138" s="89"/>
      <c r="I138" s="154" t="s">
        <v>63</v>
      </c>
      <c r="J138" s="155">
        <v>77.0</v>
      </c>
      <c r="K138" s="156">
        <v>387.05</v>
      </c>
      <c r="L138" s="163">
        <f t="shared" ref="L138:L140" si="60">J138*K138/100</f>
        <v>298.0285</v>
      </c>
      <c r="M138" s="261">
        <v>300.0</v>
      </c>
    </row>
    <row r="139">
      <c r="B139" s="89"/>
      <c r="I139" s="154" t="s">
        <v>64</v>
      </c>
      <c r="J139" s="155">
        <v>193.0</v>
      </c>
      <c r="K139" s="155">
        <v>154.82</v>
      </c>
      <c r="L139" s="163">
        <f t="shared" si="60"/>
        <v>298.8026</v>
      </c>
      <c r="M139" s="261">
        <v>300.0</v>
      </c>
    </row>
    <row r="140">
      <c r="B140" s="89"/>
      <c r="I140" s="154" t="s">
        <v>65</v>
      </c>
      <c r="J140" s="155">
        <v>646.0</v>
      </c>
      <c r="K140" s="155">
        <v>61.928</v>
      </c>
      <c r="L140" s="163">
        <f t="shared" si="60"/>
        <v>400.05488</v>
      </c>
      <c r="M140" s="261">
        <v>400.0</v>
      </c>
    </row>
    <row r="141">
      <c r="B141" s="89"/>
      <c r="I141" s="154" t="s">
        <v>66</v>
      </c>
      <c r="J141" s="230"/>
      <c r="K141" s="230"/>
      <c r="L141" s="231">
        <f>J141*K141</f>
        <v>0</v>
      </c>
      <c r="M141" s="165"/>
    </row>
    <row r="142">
      <c r="B142" s="89"/>
      <c r="I142" s="169"/>
      <c r="J142" s="231">
        <f>sum(J138:J141)</f>
        <v>916</v>
      </c>
      <c r="K142" s="252"/>
      <c r="L142" s="252">
        <f>sum(L138:L141)</f>
        <v>996.88598</v>
      </c>
      <c r="M142" s="165"/>
    </row>
    <row r="143">
      <c r="B143" s="89"/>
      <c r="I143" s="169"/>
      <c r="J143" s="14"/>
      <c r="K143" s="14"/>
      <c r="L143" s="14"/>
      <c r="M143" s="262"/>
    </row>
    <row r="144">
      <c r="B144" s="89"/>
      <c r="I144" s="173"/>
      <c r="J144" s="174"/>
      <c r="K144" s="263" t="s">
        <v>67</v>
      </c>
      <c r="L144" s="185">
        <f>L142/J142</f>
        <v>1.088303472</v>
      </c>
      <c r="M144" s="178"/>
    </row>
    <row r="145">
      <c r="B145" s="89"/>
    </row>
    <row r="146">
      <c r="B146" s="89"/>
      <c r="I146" s="256" t="s">
        <v>85</v>
      </c>
      <c r="J146" s="257">
        <f>IFERROR(__xludf.DUMMYFUNCTION("GOOGLEFINANCE(I146)"),1258.2)</f>
        <v>1258.2</v>
      </c>
      <c r="K146" s="258" t="s">
        <v>56</v>
      </c>
      <c r="L146" s="259">
        <v>1000.0</v>
      </c>
      <c r="M146" s="142"/>
    </row>
    <row r="147">
      <c r="B147" s="89"/>
      <c r="I147" s="169"/>
      <c r="J147" s="150" t="s">
        <v>19</v>
      </c>
      <c r="K147" s="150" t="s">
        <v>58</v>
      </c>
      <c r="L147" s="150" t="s">
        <v>59</v>
      </c>
      <c r="M147" s="260" t="s">
        <v>86</v>
      </c>
    </row>
    <row r="148">
      <c r="B148" s="89"/>
      <c r="I148" s="154" t="s">
        <v>63</v>
      </c>
      <c r="J148" s="155">
        <v>77.0</v>
      </c>
      <c r="K148" s="156">
        <v>387.05</v>
      </c>
      <c r="L148" s="163">
        <f t="shared" ref="L148:L150" si="61">J148*K148/100</f>
        <v>298.0285</v>
      </c>
      <c r="M148" s="261">
        <v>300.0</v>
      </c>
    </row>
    <row r="149">
      <c r="B149" s="89"/>
      <c r="I149" s="154" t="s">
        <v>64</v>
      </c>
      <c r="J149" s="155">
        <v>193.0</v>
      </c>
      <c r="K149" s="155">
        <v>154.82</v>
      </c>
      <c r="L149" s="163">
        <f t="shared" si="61"/>
        <v>298.8026</v>
      </c>
      <c r="M149" s="261">
        <v>300.0</v>
      </c>
    </row>
    <row r="150">
      <c r="B150" s="89"/>
      <c r="I150" s="154" t="s">
        <v>65</v>
      </c>
      <c r="J150" s="155">
        <v>646.0</v>
      </c>
      <c r="K150" s="155">
        <v>61.928</v>
      </c>
      <c r="L150" s="163">
        <f t="shared" si="61"/>
        <v>400.05488</v>
      </c>
      <c r="M150" s="261">
        <v>400.0</v>
      </c>
    </row>
    <row r="151">
      <c r="B151" s="89"/>
      <c r="I151" s="154" t="s">
        <v>66</v>
      </c>
      <c r="J151" s="230"/>
      <c r="K151" s="230"/>
      <c r="L151" s="231">
        <f>J151*K151</f>
        <v>0</v>
      </c>
      <c r="M151" s="165"/>
    </row>
    <row r="152">
      <c r="B152" s="89"/>
      <c r="I152" s="169"/>
      <c r="J152" s="231">
        <f>sum(J148:J151)</f>
        <v>916</v>
      </c>
      <c r="K152" s="252"/>
      <c r="L152" s="252">
        <f>sum(L148:L151)</f>
        <v>996.88598</v>
      </c>
      <c r="M152" s="165"/>
    </row>
    <row r="153">
      <c r="B153" s="89"/>
      <c r="I153" s="169"/>
      <c r="J153" s="14"/>
      <c r="K153" s="14"/>
      <c r="L153" s="14"/>
      <c r="M153" s="262"/>
    </row>
    <row r="154">
      <c r="B154" s="89"/>
      <c r="I154" s="173"/>
      <c r="J154" s="174"/>
      <c r="K154" s="263" t="s">
        <v>67</v>
      </c>
      <c r="L154" s="185">
        <f>L152/J152</f>
        <v>1.088303472</v>
      </c>
      <c r="M154" s="178"/>
    </row>
    <row r="155">
      <c r="B155" s="89"/>
    </row>
    <row r="156">
      <c r="B156" s="89"/>
      <c r="I156" s="256" t="s">
        <v>87</v>
      </c>
      <c r="J156" s="257">
        <f>IFERROR(__xludf.DUMMYFUNCTION("GOOGLEFINANCE(I156)"),2.57)</f>
        <v>2.57</v>
      </c>
      <c r="K156" s="258" t="s">
        <v>56</v>
      </c>
      <c r="L156" s="259">
        <v>1000.0</v>
      </c>
      <c r="M156" s="142"/>
    </row>
    <row r="157">
      <c r="B157" s="89"/>
      <c r="I157" s="169"/>
      <c r="J157" s="150" t="s">
        <v>19</v>
      </c>
      <c r="K157" s="150" t="s">
        <v>58</v>
      </c>
      <c r="L157" s="150" t="s">
        <v>59</v>
      </c>
      <c r="M157" s="260" t="s">
        <v>86</v>
      </c>
    </row>
    <row r="158">
      <c r="B158" s="89"/>
      <c r="I158" s="154" t="s">
        <v>63</v>
      </c>
      <c r="J158" s="155">
        <v>5453.0</v>
      </c>
      <c r="K158" s="156">
        <v>5.5</v>
      </c>
      <c r="L158" s="163">
        <f t="shared" ref="L158:L160" si="62">J158*K158/100</f>
        <v>299.915</v>
      </c>
      <c r="M158" s="261">
        <v>300.0</v>
      </c>
    </row>
    <row r="159">
      <c r="B159" s="89"/>
      <c r="I159" s="154" t="s">
        <v>64</v>
      </c>
      <c r="J159" s="155">
        <v>13636.0</v>
      </c>
      <c r="K159" s="155">
        <v>2.2</v>
      </c>
      <c r="L159" s="163">
        <f t="shared" si="62"/>
        <v>299.992</v>
      </c>
      <c r="M159" s="261">
        <v>300.0</v>
      </c>
    </row>
    <row r="160">
      <c r="B160" s="89"/>
      <c r="I160" s="154" t="s">
        <v>65</v>
      </c>
      <c r="J160" s="155">
        <v>45450.0</v>
      </c>
      <c r="K160" s="155">
        <v>0.88</v>
      </c>
      <c r="L160" s="163">
        <f t="shared" si="62"/>
        <v>399.96</v>
      </c>
      <c r="M160" s="261">
        <v>400.0</v>
      </c>
    </row>
    <row r="161">
      <c r="B161" s="89"/>
      <c r="I161" s="154" t="s">
        <v>66</v>
      </c>
      <c r="J161" s="264"/>
      <c r="K161" s="264"/>
      <c r="L161" s="231">
        <f>J161*K161</f>
        <v>0</v>
      </c>
      <c r="M161" s="165"/>
    </row>
    <row r="162">
      <c r="B162" s="89"/>
      <c r="I162" s="169"/>
      <c r="J162" s="231">
        <f>sum(J158:J161)</f>
        <v>64539</v>
      </c>
      <c r="K162" s="252"/>
      <c r="L162" s="265">
        <f>sum(L158:L161)</f>
        <v>999.867</v>
      </c>
      <c r="M162" s="165"/>
    </row>
    <row r="163">
      <c r="B163" s="89"/>
      <c r="I163" s="169"/>
      <c r="J163" s="14"/>
      <c r="K163" s="14"/>
      <c r="L163" s="14"/>
      <c r="M163" s="262"/>
    </row>
    <row r="164">
      <c r="B164" s="89"/>
      <c r="I164" s="173"/>
      <c r="J164" s="174"/>
      <c r="K164" s="263" t="s">
        <v>67</v>
      </c>
      <c r="L164" s="185">
        <f>L162/J162</f>
        <v>0.01549244643</v>
      </c>
      <c r="M164" s="178"/>
    </row>
    <row r="165">
      <c r="B165" s="89"/>
    </row>
    <row r="166">
      <c r="B166" s="89"/>
      <c r="I166" s="102"/>
      <c r="J166" s="103" t="str">
        <f>IFERROR(__xludf.DUMMYFUNCTION("GOOGLEFINANCE(I166)"),"#N/A")</f>
        <v>#N/A</v>
      </c>
      <c r="K166" s="104" t="s">
        <v>56</v>
      </c>
      <c r="L166" s="105">
        <v>1000.0</v>
      </c>
      <c r="M166" s="106"/>
    </row>
    <row r="167">
      <c r="B167" s="89"/>
      <c r="I167" s="111"/>
      <c r="J167" s="108" t="s">
        <v>19</v>
      </c>
      <c r="K167" s="108" t="s">
        <v>58</v>
      </c>
      <c r="L167" s="108" t="s">
        <v>59</v>
      </c>
      <c r="M167" s="112" t="s">
        <v>86</v>
      </c>
    </row>
    <row r="168">
      <c r="B168" s="89"/>
      <c r="I168" s="117" t="s">
        <v>63</v>
      </c>
      <c r="J168" s="114"/>
      <c r="K168" s="115"/>
      <c r="L168" s="17">
        <f t="shared" ref="L168:L170" si="63">J168*K168/100</f>
        <v>0</v>
      </c>
      <c r="M168" s="119">
        <v>300.0</v>
      </c>
    </row>
    <row r="169">
      <c r="B169" s="89"/>
      <c r="I169" s="117" t="s">
        <v>64</v>
      </c>
      <c r="J169" s="114"/>
      <c r="K169" s="114"/>
      <c r="L169" s="17">
        <f t="shared" si="63"/>
        <v>0</v>
      </c>
      <c r="M169" s="119">
        <v>300.0</v>
      </c>
    </row>
    <row r="170">
      <c r="B170" s="89"/>
      <c r="I170" s="117" t="s">
        <v>65</v>
      </c>
      <c r="J170" s="114"/>
      <c r="K170" s="114"/>
      <c r="L170" s="17">
        <f t="shared" si="63"/>
        <v>0</v>
      </c>
      <c r="M170" s="119">
        <v>400.0</v>
      </c>
    </row>
    <row r="171">
      <c r="B171" s="89"/>
      <c r="I171" s="117" t="s">
        <v>66</v>
      </c>
      <c r="J171" s="114"/>
      <c r="K171" s="114"/>
      <c r="L171" s="17">
        <f>J171*K171</f>
        <v>0</v>
      </c>
      <c r="M171" s="120"/>
    </row>
    <row r="172">
      <c r="B172" s="89"/>
      <c r="I172" s="125"/>
      <c r="J172" s="122">
        <f>sum(J168:J171)</f>
        <v>0</v>
      </c>
      <c r="K172" s="123"/>
      <c r="L172" s="123">
        <f>sum(L168:L171)</f>
        <v>0</v>
      </c>
      <c r="M172" s="120"/>
    </row>
    <row r="173">
      <c r="B173" s="89"/>
      <c r="I173" s="125"/>
      <c r="M173" s="132"/>
    </row>
    <row r="174">
      <c r="B174" s="89"/>
      <c r="I174" s="133"/>
      <c r="J174" s="134"/>
      <c r="K174" s="135" t="s">
        <v>67</v>
      </c>
      <c r="L174" s="136" t="str">
        <f>L172/J172</f>
        <v>#DIV/0!</v>
      </c>
      <c r="M174" s="137"/>
    </row>
    <row r="175">
      <c r="B175" s="89"/>
    </row>
    <row r="176">
      <c r="B176" s="89"/>
    </row>
    <row r="177">
      <c r="B177" s="89"/>
    </row>
    <row r="178">
      <c r="B178" s="89"/>
    </row>
    <row r="179">
      <c r="B179" s="89"/>
    </row>
    <row r="180">
      <c r="B180" s="89"/>
    </row>
    <row r="181">
      <c r="B181" s="89"/>
    </row>
    <row r="182">
      <c r="B182" s="89"/>
    </row>
    <row r="183">
      <c r="B183" s="89"/>
    </row>
    <row r="184">
      <c r="B184" s="89"/>
    </row>
    <row r="185">
      <c r="B185" s="89"/>
    </row>
    <row r="186">
      <c r="B186" s="89"/>
    </row>
    <row r="187">
      <c r="B187" s="89"/>
    </row>
    <row r="188">
      <c r="B188" s="89"/>
    </row>
    <row r="189">
      <c r="B189" s="89"/>
    </row>
    <row r="190">
      <c r="B190" s="89"/>
    </row>
    <row r="191">
      <c r="B191" s="89"/>
    </row>
    <row r="192">
      <c r="B192" s="89"/>
    </row>
    <row r="193">
      <c r="B193" s="89"/>
    </row>
    <row r="194">
      <c r="B194" s="89"/>
    </row>
    <row r="195">
      <c r="B195" s="89"/>
    </row>
    <row r="196">
      <c r="B196" s="89"/>
    </row>
    <row r="197">
      <c r="B197" s="89"/>
    </row>
    <row r="198">
      <c r="B198" s="89"/>
    </row>
    <row r="199">
      <c r="B199" s="89"/>
    </row>
    <row r="200">
      <c r="B200" s="89"/>
    </row>
    <row r="201">
      <c r="B201" s="89"/>
    </row>
    <row r="202">
      <c r="B202" s="89"/>
    </row>
    <row r="203">
      <c r="B203" s="89"/>
    </row>
    <row r="204">
      <c r="B204" s="89"/>
    </row>
    <row r="205">
      <c r="B205" s="89"/>
    </row>
    <row r="206">
      <c r="B206" s="89"/>
    </row>
    <row r="207">
      <c r="B207" s="89"/>
    </row>
    <row r="208">
      <c r="B208" s="89"/>
    </row>
    <row r="209">
      <c r="B209" s="89"/>
    </row>
    <row r="210">
      <c r="B210" s="89"/>
    </row>
    <row r="211">
      <c r="B211" s="89"/>
    </row>
    <row r="212">
      <c r="B212" s="89"/>
    </row>
    <row r="213">
      <c r="B213" s="89"/>
    </row>
    <row r="214">
      <c r="B214" s="89"/>
    </row>
    <row r="215">
      <c r="B215" s="89"/>
    </row>
    <row r="216">
      <c r="B216" s="89"/>
    </row>
    <row r="217">
      <c r="B217" s="89"/>
    </row>
    <row r="218">
      <c r="B218" s="89"/>
    </row>
    <row r="219">
      <c r="B219" s="89"/>
    </row>
    <row r="220">
      <c r="B220" s="89"/>
    </row>
    <row r="221">
      <c r="B221" s="89"/>
    </row>
    <row r="222">
      <c r="B222" s="89"/>
    </row>
    <row r="223">
      <c r="B223" s="89"/>
    </row>
    <row r="224">
      <c r="B224" s="89"/>
    </row>
    <row r="225">
      <c r="B225" s="89"/>
    </row>
    <row r="226">
      <c r="B226" s="89"/>
    </row>
    <row r="227">
      <c r="B227" s="89"/>
    </row>
    <row r="228">
      <c r="B228" s="89"/>
    </row>
    <row r="229">
      <c r="B229" s="89"/>
    </row>
    <row r="230">
      <c r="B230" s="89"/>
    </row>
    <row r="231">
      <c r="B231" s="89"/>
    </row>
    <row r="232">
      <c r="B232" s="89"/>
    </row>
    <row r="233">
      <c r="B233" s="89"/>
    </row>
    <row r="234">
      <c r="B234" s="89"/>
    </row>
    <row r="235">
      <c r="B235" s="89"/>
    </row>
    <row r="236">
      <c r="B236" s="89"/>
    </row>
    <row r="237">
      <c r="B237" s="89"/>
    </row>
    <row r="238">
      <c r="B238" s="89"/>
    </row>
    <row r="239">
      <c r="B239" s="89"/>
    </row>
    <row r="240">
      <c r="B240" s="89"/>
    </row>
    <row r="241">
      <c r="B241" s="89"/>
    </row>
    <row r="242">
      <c r="B242" s="89"/>
    </row>
    <row r="243">
      <c r="B243" s="89"/>
    </row>
    <row r="244">
      <c r="B244" s="89"/>
    </row>
    <row r="245">
      <c r="B245" s="89"/>
    </row>
    <row r="246">
      <c r="B246" s="89"/>
    </row>
    <row r="247">
      <c r="B247" s="89"/>
    </row>
    <row r="248">
      <c r="B248" s="89"/>
    </row>
    <row r="249">
      <c r="B249" s="89"/>
    </row>
    <row r="250">
      <c r="B250" s="89"/>
    </row>
    <row r="251">
      <c r="B251" s="89"/>
    </row>
    <row r="252">
      <c r="B252" s="89"/>
    </row>
    <row r="253">
      <c r="B253" s="89"/>
    </row>
    <row r="254">
      <c r="B254" s="89"/>
    </row>
    <row r="255">
      <c r="B255" s="89"/>
    </row>
    <row r="256">
      <c r="B256" s="89"/>
    </row>
    <row r="257">
      <c r="B257" s="89"/>
    </row>
    <row r="258">
      <c r="B258" s="89"/>
    </row>
    <row r="259">
      <c r="B259" s="89"/>
    </row>
    <row r="260">
      <c r="B260" s="89"/>
    </row>
    <row r="261">
      <c r="B261" s="89"/>
    </row>
    <row r="262">
      <c r="B262" s="89"/>
    </row>
    <row r="263">
      <c r="B263" s="89"/>
    </row>
    <row r="264">
      <c r="B264" s="89"/>
    </row>
    <row r="265">
      <c r="B265" s="89"/>
    </row>
    <row r="266">
      <c r="B266" s="89"/>
    </row>
    <row r="267">
      <c r="B267" s="89"/>
    </row>
    <row r="268">
      <c r="B268" s="89"/>
    </row>
    <row r="269">
      <c r="B269" s="89"/>
    </row>
    <row r="270">
      <c r="B270" s="89"/>
    </row>
    <row r="271">
      <c r="B271" s="89"/>
    </row>
    <row r="272">
      <c r="B272" s="89"/>
    </row>
    <row r="273">
      <c r="B273" s="89"/>
    </row>
    <row r="274">
      <c r="B274" s="89"/>
    </row>
    <row r="275">
      <c r="B275" s="89"/>
    </row>
    <row r="276">
      <c r="B276" s="89"/>
    </row>
    <row r="277">
      <c r="B277" s="89"/>
    </row>
    <row r="278">
      <c r="B278" s="89"/>
    </row>
    <row r="279">
      <c r="B279" s="89"/>
    </row>
    <row r="280">
      <c r="B280" s="89"/>
    </row>
    <row r="281">
      <c r="B281" s="89"/>
    </row>
    <row r="282">
      <c r="B282" s="89"/>
    </row>
    <row r="283">
      <c r="B283" s="89"/>
    </row>
    <row r="284">
      <c r="B284" s="89"/>
    </row>
    <row r="285">
      <c r="B285" s="89"/>
    </row>
    <row r="286">
      <c r="B286" s="89"/>
    </row>
    <row r="287">
      <c r="B287" s="89"/>
    </row>
    <row r="288">
      <c r="B288" s="89"/>
    </row>
    <row r="289">
      <c r="B289" s="89"/>
    </row>
    <row r="290">
      <c r="B290" s="89"/>
    </row>
    <row r="291">
      <c r="B291" s="89"/>
    </row>
    <row r="292">
      <c r="B292" s="89"/>
    </row>
    <row r="293">
      <c r="B293" s="89"/>
    </row>
    <row r="294">
      <c r="B294" s="89"/>
    </row>
    <row r="295">
      <c r="B295" s="89"/>
    </row>
    <row r="296">
      <c r="B296" s="89"/>
    </row>
    <row r="297">
      <c r="B297" s="89"/>
    </row>
    <row r="298">
      <c r="B298" s="89"/>
    </row>
    <row r="299">
      <c r="B299" s="89"/>
    </row>
    <row r="300">
      <c r="B300" s="89"/>
    </row>
    <row r="301">
      <c r="B301" s="89"/>
    </row>
    <row r="302">
      <c r="B302" s="89"/>
    </row>
    <row r="303">
      <c r="B303" s="89"/>
    </row>
    <row r="304">
      <c r="B304" s="89"/>
    </row>
    <row r="305">
      <c r="B305" s="89"/>
    </row>
    <row r="306">
      <c r="B306" s="89"/>
    </row>
    <row r="307">
      <c r="B307" s="89"/>
    </row>
    <row r="308">
      <c r="B308" s="89"/>
    </row>
    <row r="309">
      <c r="B309" s="89"/>
    </row>
    <row r="310">
      <c r="B310" s="89"/>
    </row>
    <row r="311">
      <c r="B311" s="89"/>
    </row>
    <row r="312">
      <c r="B312" s="89"/>
    </row>
    <row r="313">
      <c r="B313" s="89"/>
    </row>
    <row r="314">
      <c r="B314" s="89"/>
    </row>
    <row r="315">
      <c r="B315" s="89"/>
    </row>
    <row r="316">
      <c r="B316" s="89"/>
    </row>
    <row r="317">
      <c r="B317" s="89"/>
    </row>
    <row r="318">
      <c r="B318" s="89"/>
    </row>
    <row r="319">
      <c r="B319" s="89"/>
    </row>
    <row r="320">
      <c r="B320" s="89"/>
    </row>
    <row r="321">
      <c r="B321" s="89"/>
    </row>
    <row r="322">
      <c r="B322" s="89"/>
    </row>
    <row r="323">
      <c r="B323" s="89"/>
    </row>
    <row r="324">
      <c r="B324" s="89"/>
    </row>
    <row r="325">
      <c r="B325" s="89"/>
    </row>
    <row r="326">
      <c r="B326" s="89"/>
    </row>
    <row r="327">
      <c r="B327" s="89"/>
    </row>
    <row r="328">
      <c r="B328" s="89"/>
    </row>
    <row r="329">
      <c r="B329" s="89"/>
    </row>
    <row r="330">
      <c r="B330" s="89"/>
    </row>
    <row r="331">
      <c r="B331" s="89"/>
    </row>
    <row r="332">
      <c r="B332" s="89"/>
    </row>
    <row r="333">
      <c r="B333" s="89"/>
    </row>
    <row r="334">
      <c r="B334" s="89"/>
    </row>
    <row r="335">
      <c r="B335" s="89"/>
    </row>
    <row r="336">
      <c r="B336" s="89"/>
    </row>
    <row r="337">
      <c r="B337" s="89"/>
    </row>
    <row r="338">
      <c r="B338" s="89"/>
    </row>
    <row r="339">
      <c r="B339" s="89"/>
    </row>
    <row r="340">
      <c r="B340" s="89"/>
    </row>
    <row r="341">
      <c r="B341" s="89"/>
    </row>
    <row r="342">
      <c r="B342" s="89"/>
    </row>
    <row r="343">
      <c r="B343" s="89"/>
    </row>
    <row r="344">
      <c r="B344" s="89"/>
    </row>
    <row r="345">
      <c r="B345" s="89"/>
    </row>
    <row r="346">
      <c r="B346" s="89"/>
    </row>
    <row r="347">
      <c r="B347" s="89"/>
    </row>
    <row r="348">
      <c r="B348" s="89"/>
    </row>
    <row r="349">
      <c r="B349" s="89"/>
    </row>
    <row r="350">
      <c r="B350" s="89"/>
    </row>
    <row r="351">
      <c r="B351" s="89"/>
    </row>
    <row r="352">
      <c r="B352" s="89"/>
    </row>
    <row r="353">
      <c r="B353" s="89"/>
    </row>
    <row r="354">
      <c r="B354" s="89"/>
    </row>
    <row r="355">
      <c r="B355" s="89"/>
    </row>
    <row r="356">
      <c r="B356" s="89"/>
    </row>
    <row r="357">
      <c r="B357" s="89"/>
    </row>
    <row r="358">
      <c r="B358" s="89"/>
    </row>
    <row r="359">
      <c r="B359" s="89"/>
    </row>
    <row r="360">
      <c r="B360" s="89"/>
    </row>
    <row r="361">
      <c r="B361" s="89"/>
    </row>
    <row r="362">
      <c r="B362" s="89"/>
    </row>
    <row r="363">
      <c r="B363" s="89"/>
    </row>
    <row r="364">
      <c r="B364" s="89"/>
    </row>
    <row r="365">
      <c r="B365" s="89"/>
    </row>
    <row r="366">
      <c r="B366" s="89"/>
    </row>
    <row r="367">
      <c r="B367" s="89"/>
    </row>
    <row r="368">
      <c r="B368" s="89"/>
    </row>
    <row r="369">
      <c r="B369" s="89"/>
    </row>
    <row r="370">
      <c r="B370" s="89"/>
    </row>
    <row r="371">
      <c r="B371" s="89"/>
    </row>
    <row r="372">
      <c r="B372" s="89"/>
    </row>
    <row r="373">
      <c r="B373" s="89"/>
    </row>
    <row r="374">
      <c r="B374" s="89"/>
    </row>
    <row r="375">
      <c r="B375" s="89"/>
    </row>
    <row r="376">
      <c r="B376" s="89"/>
    </row>
    <row r="377">
      <c r="B377" s="89"/>
    </row>
    <row r="378">
      <c r="B378" s="89"/>
    </row>
    <row r="379">
      <c r="B379" s="89"/>
    </row>
    <row r="380">
      <c r="B380" s="89"/>
    </row>
    <row r="381">
      <c r="B381" s="89"/>
    </row>
    <row r="382">
      <c r="B382" s="89"/>
    </row>
    <row r="383">
      <c r="B383" s="89"/>
    </row>
    <row r="384">
      <c r="B384" s="89"/>
    </row>
    <row r="385">
      <c r="B385" s="89"/>
    </row>
    <row r="386">
      <c r="B386" s="89"/>
    </row>
    <row r="387">
      <c r="B387" s="89"/>
    </row>
    <row r="388">
      <c r="B388" s="89"/>
    </row>
    <row r="389">
      <c r="B389" s="89"/>
    </row>
    <row r="390">
      <c r="B390" s="89"/>
    </row>
    <row r="391">
      <c r="B391" s="89"/>
    </row>
    <row r="392">
      <c r="B392" s="89"/>
    </row>
    <row r="393">
      <c r="B393" s="89"/>
    </row>
    <row r="394">
      <c r="B394" s="89"/>
    </row>
    <row r="395">
      <c r="B395" s="89"/>
    </row>
    <row r="396">
      <c r="B396" s="89"/>
    </row>
    <row r="397">
      <c r="B397" s="89"/>
    </row>
    <row r="398">
      <c r="B398" s="89"/>
    </row>
    <row r="399">
      <c r="B399" s="89"/>
    </row>
    <row r="400">
      <c r="B400" s="89"/>
    </row>
    <row r="401">
      <c r="B401" s="89"/>
    </row>
    <row r="402">
      <c r="B402" s="89"/>
    </row>
    <row r="403">
      <c r="B403" s="89"/>
    </row>
    <row r="404">
      <c r="B404" s="89"/>
    </row>
    <row r="405">
      <c r="B405" s="89"/>
    </row>
    <row r="406">
      <c r="B406" s="89"/>
    </row>
    <row r="407">
      <c r="B407" s="89"/>
    </row>
    <row r="408">
      <c r="B408" s="89"/>
    </row>
    <row r="409">
      <c r="B409" s="89"/>
    </row>
    <row r="410">
      <c r="B410" s="89"/>
    </row>
    <row r="411">
      <c r="B411" s="89"/>
    </row>
    <row r="412">
      <c r="B412" s="89"/>
    </row>
    <row r="413">
      <c r="B413" s="89"/>
    </row>
    <row r="414">
      <c r="B414" s="89"/>
    </row>
    <row r="415">
      <c r="B415" s="89"/>
    </row>
    <row r="416">
      <c r="B416" s="89"/>
    </row>
    <row r="417">
      <c r="B417" s="89"/>
    </row>
    <row r="418">
      <c r="B418" s="89"/>
    </row>
    <row r="419">
      <c r="B419" s="89"/>
    </row>
    <row r="420">
      <c r="B420" s="89"/>
    </row>
    <row r="421">
      <c r="B421" s="89"/>
    </row>
    <row r="422">
      <c r="B422" s="89"/>
    </row>
    <row r="423">
      <c r="B423" s="89"/>
    </row>
    <row r="424">
      <c r="B424" s="89"/>
    </row>
    <row r="425">
      <c r="B425" s="89"/>
    </row>
    <row r="426">
      <c r="B426" s="89"/>
    </row>
    <row r="427">
      <c r="B427" s="89"/>
    </row>
    <row r="428">
      <c r="B428" s="89"/>
    </row>
    <row r="429">
      <c r="B429" s="89"/>
    </row>
    <row r="430">
      <c r="B430" s="89"/>
    </row>
    <row r="431">
      <c r="B431" s="89"/>
    </row>
    <row r="432">
      <c r="B432" s="89"/>
    </row>
    <row r="433">
      <c r="B433" s="89"/>
    </row>
    <row r="434">
      <c r="B434" s="89"/>
    </row>
    <row r="435">
      <c r="B435" s="89"/>
    </row>
    <row r="436">
      <c r="B436" s="89"/>
    </row>
    <row r="437">
      <c r="B437" s="89"/>
    </row>
    <row r="438">
      <c r="B438" s="89"/>
    </row>
    <row r="439">
      <c r="B439" s="89"/>
    </row>
    <row r="440">
      <c r="B440" s="89"/>
    </row>
    <row r="441">
      <c r="B441" s="89"/>
    </row>
    <row r="442">
      <c r="B442" s="89"/>
    </row>
    <row r="443">
      <c r="B443" s="89"/>
    </row>
    <row r="444">
      <c r="B444" s="89"/>
    </row>
    <row r="445">
      <c r="B445" s="89"/>
    </row>
    <row r="446">
      <c r="B446" s="89"/>
    </row>
    <row r="447">
      <c r="B447" s="89"/>
    </row>
    <row r="448">
      <c r="B448" s="89"/>
    </row>
    <row r="449">
      <c r="B449" s="89"/>
    </row>
    <row r="450">
      <c r="B450" s="89"/>
    </row>
    <row r="451">
      <c r="B451" s="89"/>
    </row>
    <row r="452">
      <c r="B452" s="89"/>
    </row>
    <row r="453">
      <c r="B453" s="89"/>
    </row>
    <row r="454">
      <c r="B454" s="89"/>
    </row>
    <row r="455">
      <c r="B455" s="89"/>
    </row>
    <row r="456">
      <c r="B456" s="89"/>
    </row>
    <row r="457">
      <c r="B457" s="89"/>
    </row>
    <row r="458">
      <c r="B458" s="89"/>
    </row>
    <row r="459">
      <c r="B459" s="89"/>
    </row>
    <row r="460">
      <c r="B460" s="89"/>
    </row>
    <row r="461">
      <c r="B461" s="89"/>
    </row>
    <row r="462">
      <c r="B462" s="89"/>
    </row>
    <row r="463">
      <c r="B463" s="89"/>
    </row>
    <row r="464">
      <c r="B464" s="89"/>
    </row>
    <row r="465">
      <c r="B465" s="89"/>
    </row>
    <row r="466">
      <c r="B466" s="89"/>
    </row>
    <row r="467">
      <c r="B467" s="89"/>
    </row>
    <row r="468">
      <c r="B468" s="89"/>
    </row>
    <row r="469">
      <c r="B469" s="89"/>
    </row>
    <row r="470">
      <c r="B470" s="89"/>
    </row>
    <row r="471">
      <c r="B471" s="89"/>
    </row>
    <row r="472">
      <c r="B472" s="89"/>
    </row>
    <row r="473">
      <c r="B473" s="89"/>
    </row>
    <row r="474">
      <c r="B474" s="89"/>
    </row>
    <row r="475">
      <c r="B475" s="89"/>
    </row>
    <row r="476">
      <c r="B476" s="89"/>
    </row>
    <row r="477">
      <c r="B477" s="89"/>
    </row>
    <row r="478">
      <c r="B478" s="89"/>
    </row>
    <row r="479">
      <c r="B479" s="89"/>
    </row>
    <row r="480">
      <c r="B480" s="89"/>
    </row>
    <row r="481">
      <c r="B481" s="89"/>
    </row>
    <row r="482">
      <c r="B482" s="89"/>
    </row>
    <row r="483">
      <c r="B483" s="89"/>
    </row>
    <row r="484">
      <c r="B484" s="89"/>
    </row>
    <row r="485">
      <c r="B485" s="89"/>
    </row>
    <row r="486">
      <c r="B486" s="89"/>
    </row>
    <row r="487">
      <c r="B487" s="89"/>
    </row>
    <row r="488">
      <c r="B488" s="89"/>
    </row>
    <row r="489">
      <c r="B489" s="89"/>
    </row>
    <row r="490">
      <c r="B490" s="89"/>
    </row>
    <row r="491">
      <c r="B491" s="89"/>
    </row>
    <row r="492">
      <c r="B492" s="89"/>
    </row>
    <row r="493">
      <c r="B493" s="89"/>
    </row>
    <row r="494">
      <c r="B494" s="89"/>
    </row>
    <row r="495">
      <c r="B495" s="89"/>
    </row>
    <row r="496">
      <c r="B496" s="89"/>
    </row>
    <row r="497">
      <c r="B497" s="89"/>
    </row>
    <row r="498">
      <c r="B498" s="89"/>
    </row>
    <row r="499">
      <c r="B499" s="89"/>
    </row>
    <row r="500">
      <c r="B500" s="89"/>
    </row>
    <row r="501">
      <c r="B501" s="89"/>
    </row>
    <row r="502">
      <c r="B502" s="89"/>
    </row>
    <row r="503">
      <c r="B503" s="89"/>
    </row>
    <row r="504">
      <c r="B504" s="89"/>
    </row>
    <row r="505">
      <c r="B505" s="89"/>
    </row>
    <row r="506">
      <c r="B506" s="89"/>
    </row>
    <row r="507">
      <c r="B507" s="89"/>
    </row>
    <row r="508">
      <c r="B508" s="89"/>
    </row>
    <row r="509">
      <c r="B509" s="89"/>
    </row>
    <row r="510">
      <c r="B510" s="89"/>
    </row>
    <row r="511">
      <c r="B511" s="89"/>
    </row>
    <row r="512">
      <c r="B512" s="89"/>
    </row>
    <row r="513">
      <c r="B513" s="89"/>
    </row>
    <row r="514">
      <c r="B514" s="89"/>
    </row>
    <row r="515">
      <c r="B515" s="89"/>
    </row>
    <row r="516">
      <c r="B516" s="89"/>
    </row>
    <row r="517">
      <c r="B517" s="89"/>
    </row>
    <row r="518">
      <c r="B518" s="89"/>
    </row>
    <row r="519">
      <c r="B519" s="89"/>
    </row>
    <row r="520">
      <c r="B520" s="89"/>
    </row>
    <row r="521">
      <c r="B521" s="89"/>
    </row>
    <row r="522">
      <c r="B522" s="89"/>
    </row>
    <row r="523">
      <c r="B523" s="89"/>
    </row>
    <row r="524">
      <c r="B524" s="89"/>
    </row>
    <row r="525">
      <c r="B525" s="89"/>
    </row>
    <row r="526">
      <c r="B526" s="89"/>
    </row>
    <row r="527">
      <c r="B527" s="89"/>
    </row>
    <row r="528">
      <c r="B528" s="89"/>
    </row>
    <row r="529">
      <c r="B529" s="89"/>
    </row>
    <row r="530">
      <c r="B530" s="89"/>
    </row>
    <row r="531">
      <c r="B531" s="89"/>
    </row>
    <row r="532">
      <c r="B532" s="89"/>
    </row>
    <row r="533">
      <c r="B533" s="89"/>
    </row>
    <row r="534">
      <c r="B534" s="89"/>
    </row>
    <row r="535">
      <c r="B535" s="89"/>
    </row>
    <row r="536">
      <c r="B536" s="89"/>
    </row>
    <row r="537">
      <c r="B537" s="89"/>
    </row>
    <row r="538">
      <c r="B538" s="89"/>
    </row>
    <row r="539">
      <c r="B539" s="89"/>
    </row>
    <row r="540">
      <c r="B540" s="89"/>
    </row>
    <row r="541">
      <c r="B541" s="89"/>
    </row>
    <row r="542">
      <c r="B542" s="89"/>
    </row>
    <row r="543">
      <c r="B543" s="89"/>
    </row>
    <row r="544">
      <c r="B544" s="89"/>
    </row>
    <row r="545">
      <c r="B545" s="89"/>
    </row>
    <row r="546">
      <c r="B546" s="89"/>
    </row>
    <row r="547">
      <c r="B547" s="89"/>
    </row>
    <row r="548">
      <c r="B548" s="89"/>
    </row>
    <row r="549">
      <c r="B549" s="89"/>
    </row>
    <row r="550">
      <c r="B550" s="89"/>
    </row>
    <row r="551">
      <c r="B551" s="89"/>
    </row>
    <row r="552">
      <c r="B552" s="89"/>
    </row>
    <row r="553">
      <c r="B553" s="89"/>
    </row>
    <row r="554">
      <c r="B554" s="89"/>
    </row>
    <row r="555">
      <c r="B555" s="89"/>
    </row>
    <row r="556">
      <c r="B556" s="89"/>
    </row>
    <row r="557">
      <c r="B557" s="89"/>
    </row>
    <row r="558">
      <c r="B558" s="89"/>
    </row>
    <row r="559">
      <c r="B559" s="89"/>
    </row>
    <row r="560">
      <c r="B560" s="89"/>
    </row>
    <row r="561">
      <c r="B561" s="89"/>
    </row>
    <row r="562">
      <c r="B562" s="89"/>
    </row>
    <row r="563">
      <c r="B563" s="89"/>
    </row>
    <row r="564">
      <c r="B564" s="89"/>
    </row>
    <row r="565">
      <c r="B565" s="89"/>
    </row>
    <row r="566">
      <c r="B566" s="89"/>
    </row>
    <row r="567">
      <c r="B567" s="89"/>
    </row>
    <row r="568">
      <c r="B568" s="89"/>
    </row>
    <row r="569">
      <c r="B569" s="89"/>
    </row>
    <row r="570">
      <c r="B570" s="89"/>
    </row>
    <row r="571">
      <c r="B571" s="89"/>
    </row>
    <row r="572">
      <c r="B572" s="89"/>
    </row>
    <row r="573">
      <c r="B573" s="89"/>
    </row>
    <row r="574">
      <c r="B574" s="89"/>
    </row>
    <row r="575">
      <c r="B575" s="89"/>
    </row>
    <row r="576">
      <c r="B576" s="89"/>
    </row>
    <row r="577">
      <c r="B577" s="89"/>
    </row>
    <row r="578">
      <c r="B578" s="89"/>
    </row>
    <row r="579">
      <c r="B579" s="89"/>
    </row>
    <row r="580">
      <c r="B580" s="89"/>
    </row>
    <row r="581">
      <c r="B581" s="89"/>
    </row>
    <row r="582">
      <c r="B582" s="89"/>
    </row>
    <row r="583">
      <c r="B583" s="89"/>
    </row>
    <row r="584">
      <c r="B584" s="89"/>
    </row>
    <row r="585">
      <c r="B585" s="89"/>
    </row>
    <row r="586">
      <c r="B586" s="89"/>
    </row>
    <row r="587">
      <c r="B587" s="89"/>
    </row>
    <row r="588">
      <c r="B588" s="89"/>
    </row>
    <row r="589">
      <c r="B589" s="89"/>
    </row>
    <row r="590">
      <c r="B590" s="89"/>
    </row>
    <row r="591">
      <c r="B591" s="89"/>
    </row>
    <row r="592">
      <c r="B592" s="89"/>
    </row>
    <row r="593">
      <c r="B593" s="89"/>
    </row>
    <row r="594">
      <c r="B594" s="89"/>
    </row>
    <row r="595">
      <c r="B595" s="89"/>
    </row>
    <row r="596">
      <c r="B596" s="89"/>
    </row>
    <row r="597">
      <c r="B597" s="89"/>
    </row>
    <row r="598">
      <c r="B598" s="89"/>
    </row>
    <row r="599">
      <c r="B599" s="89"/>
    </row>
    <row r="600">
      <c r="B600" s="89"/>
    </row>
    <row r="601">
      <c r="B601" s="89"/>
    </row>
    <row r="602">
      <c r="B602" s="89"/>
    </row>
    <row r="603">
      <c r="B603" s="89"/>
    </row>
    <row r="604">
      <c r="B604" s="89"/>
    </row>
    <row r="605">
      <c r="B605" s="89"/>
    </row>
    <row r="606">
      <c r="B606" s="89"/>
    </row>
    <row r="607">
      <c r="B607" s="89"/>
    </row>
    <row r="608">
      <c r="B608" s="89"/>
    </row>
    <row r="609">
      <c r="B609" s="89"/>
    </row>
    <row r="610">
      <c r="B610" s="89"/>
    </row>
    <row r="611">
      <c r="B611" s="89"/>
    </row>
    <row r="612">
      <c r="B612" s="89"/>
    </row>
    <row r="613">
      <c r="B613" s="89"/>
    </row>
    <row r="614">
      <c r="B614" s="89"/>
    </row>
    <row r="615">
      <c r="B615" s="89"/>
    </row>
    <row r="616">
      <c r="B616" s="89"/>
    </row>
    <row r="617">
      <c r="B617" s="89"/>
    </row>
    <row r="618">
      <c r="B618" s="89"/>
    </row>
    <row r="619">
      <c r="B619" s="89"/>
    </row>
    <row r="620">
      <c r="B620" s="89"/>
    </row>
    <row r="621">
      <c r="B621" s="89"/>
    </row>
    <row r="622">
      <c r="B622" s="89"/>
    </row>
    <row r="623">
      <c r="B623" s="89"/>
    </row>
    <row r="624">
      <c r="B624" s="89"/>
    </row>
    <row r="625">
      <c r="B625" s="89"/>
    </row>
    <row r="626">
      <c r="B626" s="89"/>
    </row>
    <row r="627">
      <c r="B627" s="89"/>
    </row>
    <row r="628">
      <c r="B628" s="89"/>
    </row>
    <row r="629">
      <c r="B629" s="89"/>
    </row>
    <row r="630">
      <c r="B630" s="89"/>
    </row>
    <row r="631">
      <c r="B631" s="89"/>
    </row>
    <row r="632">
      <c r="B632" s="89"/>
    </row>
    <row r="633">
      <c r="B633" s="89"/>
    </row>
    <row r="634">
      <c r="B634" s="89"/>
    </row>
    <row r="635">
      <c r="B635" s="89"/>
    </row>
    <row r="636">
      <c r="B636" s="89"/>
    </row>
    <row r="637">
      <c r="B637" s="89"/>
    </row>
    <row r="638">
      <c r="B638" s="89"/>
    </row>
    <row r="639">
      <c r="B639" s="89"/>
    </row>
    <row r="640">
      <c r="B640" s="89"/>
    </row>
    <row r="641">
      <c r="B641" s="89"/>
    </row>
    <row r="642">
      <c r="B642" s="89"/>
    </row>
    <row r="643">
      <c r="B643" s="89"/>
    </row>
    <row r="644">
      <c r="B644" s="89"/>
    </row>
    <row r="645">
      <c r="B645" s="89"/>
    </row>
    <row r="646">
      <c r="B646" s="89"/>
    </row>
    <row r="647">
      <c r="B647" s="89"/>
    </row>
    <row r="648">
      <c r="B648" s="89"/>
    </row>
    <row r="649">
      <c r="B649" s="89"/>
    </row>
    <row r="650">
      <c r="B650" s="89"/>
    </row>
    <row r="651">
      <c r="B651" s="89"/>
    </row>
    <row r="652">
      <c r="B652" s="89"/>
    </row>
    <row r="653">
      <c r="B653" s="89"/>
    </row>
    <row r="654">
      <c r="B654" s="89"/>
    </row>
    <row r="655">
      <c r="B655" s="89"/>
    </row>
    <row r="656">
      <c r="B656" s="89"/>
    </row>
    <row r="657">
      <c r="B657" s="89"/>
    </row>
    <row r="658">
      <c r="B658" s="89"/>
    </row>
    <row r="659">
      <c r="B659" s="89"/>
    </row>
    <row r="660">
      <c r="B660" s="89"/>
    </row>
    <row r="661">
      <c r="B661" s="89"/>
    </row>
    <row r="662">
      <c r="B662" s="89"/>
    </row>
    <row r="663">
      <c r="B663" s="89"/>
    </row>
    <row r="664">
      <c r="B664" s="89"/>
    </row>
    <row r="665">
      <c r="B665" s="89"/>
    </row>
    <row r="666">
      <c r="B666" s="89"/>
    </row>
    <row r="667">
      <c r="B667" s="89"/>
    </row>
    <row r="668">
      <c r="B668" s="89"/>
    </row>
    <row r="669">
      <c r="B669" s="89"/>
    </row>
    <row r="670">
      <c r="B670" s="89"/>
    </row>
    <row r="671">
      <c r="B671" s="89"/>
    </row>
    <row r="672">
      <c r="B672" s="89"/>
    </row>
    <row r="673">
      <c r="B673" s="89"/>
    </row>
    <row r="674">
      <c r="B674" s="89"/>
    </row>
    <row r="675">
      <c r="B675" s="89"/>
    </row>
    <row r="676">
      <c r="B676" s="89"/>
    </row>
    <row r="677">
      <c r="B677" s="89"/>
    </row>
    <row r="678">
      <c r="B678" s="89"/>
    </row>
    <row r="679">
      <c r="B679" s="89"/>
    </row>
    <row r="680">
      <c r="B680" s="89"/>
    </row>
    <row r="681">
      <c r="B681" s="89"/>
    </row>
    <row r="682">
      <c r="B682" s="89"/>
    </row>
    <row r="683">
      <c r="B683" s="89"/>
    </row>
    <row r="684">
      <c r="B684" s="89"/>
    </row>
    <row r="685">
      <c r="B685" s="89"/>
    </row>
    <row r="686">
      <c r="B686" s="89"/>
    </row>
    <row r="687">
      <c r="B687" s="89"/>
    </row>
    <row r="688">
      <c r="B688" s="89"/>
    </row>
    <row r="689">
      <c r="B689" s="89"/>
    </row>
    <row r="690">
      <c r="B690" s="89"/>
    </row>
    <row r="691">
      <c r="B691" s="89"/>
    </row>
    <row r="692">
      <c r="B692" s="89"/>
    </row>
    <row r="693">
      <c r="B693" s="89"/>
    </row>
    <row r="694">
      <c r="B694" s="89"/>
    </row>
    <row r="695">
      <c r="B695" s="89"/>
    </row>
    <row r="696">
      <c r="B696" s="89"/>
    </row>
    <row r="697">
      <c r="B697" s="89"/>
    </row>
    <row r="698">
      <c r="B698" s="89"/>
    </row>
    <row r="699">
      <c r="B699" s="89"/>
    </row>
    <row r="700">
      <c r="B700" s="89"/>
    </row>
    <row r="701">
      <c r="B701" s="89"/>
    </row>
    <row r="702">
      <c r="B702" s="89"/>
    </row>
    <row r="703">
      <c r="B703" s="89"/>
    </row>
    <row r="704">
      <c r="B704" s="89"/>
    </row>
    <row r="705">
      <c r="B705" s="89"/>
    </row>
    <row r="706">
      <c r="B706" s="89"/>
    </row>
    <row r="707">
      <c r="B707" s="89"/>
    </row>
    <row r="708">
      <c r="B708" s="89"/>
    </row>
    <row r="709">
      <c r="B709" s="89"/>
    </row>
    <row r="710">
      <c r="B710" s="89"/>
    </row>
    <row r="711">
      <c r="B711" s="89"/>
    </row>
    <row r="712">
      <c r="B712" s="89"/>
    </row>
    <row r="713">
      <c r="B713" s="89"/>
    </row>
    <row r="714">
      <c r="B714" s="89"/>
    </row>
    <row r="715">
      <c r="B715" s="89"/>
    </row>
    <row r="716">
      <c r="B716" s="89"/>
    </row>
    <row r="717">
      <c r="B717" s="89"/>
    </row>
    <row r="718">
      <c r="B718" s="89"/>
    </row>
    <row r="719">
      <c r="B719" s="89"/>
    </row>
    <row r="720">
      <c r="B720" s="89"/>
    </row>
    <row r="721">
      <c r="B721" s="89"/>
    </row>
    <row r="722">
      <c r="B722" s="89"/>
    </row>
    <row r="723">
      <c r="B723" s="89"/>
    </row>
    <row r="724">
      <c r="B724" s="89"/>
    </row>
    <row r="725">
      <c r="B725" s="89"/>
    </row>
    <row r="726">
      <c r="B726" s="89"/>
    </row>
    <row r="727">
      <c r="B727" s="89"/>
    </row>
    <row r="728">
      <c r="B728" s="89"/>
    </row>
    <row r="729">
      <c r="B729" s="89"/>
    </row>
    <row r="730">
      <c r="B730" s="89"/>
    </row>
    <row r="731">
      <c r="B731" s="89"/>
    </row>
    <row r="732">
      <c r="B732" s="89"/>
    </row>
    <row r="733">
      <c r="B733" s="89"/>
    </row>
    <row r="734">
      <c r="B734" s="89"/>
    </row>
    <row r="735">
      <c r="B735" s="89"/>
    </row>
    <row r="736">
      <c r="B736" s="89"/>
    </row>
    <row r="737">
      <c r="B737" s="89"/>
    </row>
    <row r="738">
      <c r="B738" s="89"/>
    </row>
    <row r="739">
      <c r="B739" s="89"/>
    </row>
    <row r="740">
      <c r="B740" s="89"/>
    </row>
    <row r="741">
      <c r="B741" s="89"/>
    </row>
    <row r="742">
      <c r="B742" s="89"/>
    </row>
    <row r="743">
      <c r="B743" s="89"/>
    </row>
    <row r="744">
      <c r="B744" s="89"/>
    </row>
    <row r="745">
      <c r="B745" s="89"/>
    </row>
    <row r="746">
      <c r="B746" s="89"/>
    </row>
    <row r="747">
      <c r="B747" s="89"/>
    </row>
    <row r="748">
      <c r="B748" s="89"/>
    </row>
    <row r="749">
      <c r="B749" s="89"/>
    </row>
    <row r="750">
      <c r="B750" s="89"/>
    </row>
    <row r="751">
      <c r="B751" s="89"/>
    </row>
    <row r="752">
      <c r="B752" s="89"/>
    </row>
    <row r="753">
      <c r="B753" s="89"/>
    </row>
    <row r="754">
      <c r="B754" s="89"/>
    </row>
    <row r="755">
      <c r="B755" s="89"/>
    </row>
    <row r="756">
      <c r="B756" s="89"/>
    </row>
    <row r="757">
      <c r="B757" s="89"/>
    </row>
    <row r="758">
      <c r="B758" s="89"/>
    </row>
    <row r="759">
      <c r="B759" s="89"/>
    </row>
    <row r="760">
      <c r="B760" s="89"/>
    </row>
    <row r="761">
      <c r="B761" s="89"/>
    </row>
    <row r="762">
      <c r="B762" s="89"/>
    </row>
    <row r="763">
      <c r="B763" s="89"/>
    </row>
    <row r="764">
      <c r="B764" s="89"/>
    </row>
    <row r="765">
      <c r="B765" s="89"/>
    </row>
    <row r="766">
      <c r="B766" s="89"/>
    </row>
    <row r="767">
      <c r="B767" s="89"/>
    </row>
    <row r="768">
      <c r="B768" s="89"/>
    </row>
    <row r="769">
      <c r="B769" s="89"/>
    </row>
    <row r="770">
      <c r="B770" s="89"/>
    </row>
    <row r="771">
      <c r="B771" s="89"/>
    </row>
    <row r="772">
      <c r="B772" s="89"/>
    </row>
    <row r="773">
      <c r="B773" s="89"/>
    </row>
    <row r="774">
      <c r="B774" s="89"/>
    </row>
    <row r="775">
      <c r="B775" s="89"/>
    </row>
    <row r="776">
      <c r="B776" s="89"/>
    </row>
    <row r="777">
      <c r="B777" s="89"/>
    </row>
    <row r="778">
      <c r="B778" s="89"/>
    </row>
    <row r="779">
      <c r="B779" s="89"/>
    </row>
    <row r="780">
      <c r="B780" s="89"/>
    </row>
    <row r="781">
      <c r="B781" s="89"/>
    </row>
    <row r="782">
      <c r="B782" s="89"/>
    </row>
    <row r="783">
      <c r="B783" s="89"/>
    </row>
    <row r="784">
      <c r="B784" s="89"/>
    </row>
    <row r="785">
      <c r="B785" s="89"/>
    </row>
    <row r="786">
      <c r="B786" s="89"/>
    </row>
    <row r="787">
      <c r="B787" s="89"/>
    </row>
    <row r="788">
      <c r="B788" s="89"/>
    </row>
    <row r="789">
      <c r="B789" s="89"/>
    </row>
    <row r="790">
      <c r="B790" s="89"/>
    </row>
    <row r="791">
      <c r="B791" s="89"/>
    </row>
    <row r="792">
      <c r="B792" s="89"/>
    </row>
    <row r="793">
      <c r="B793" s="89"/>
    </row>
    <row r="794">
      <c r="B794" s="89"/>
    </row>
    <row r="795">
      <c r="B795" s="89"/>
    </row>
    <row r="796">
      <c r="B796" s="89"/>
    </row>
    <row r="797">
      <c r="B797" s="89"/>
    </row>
    <row r="798">
      <c r="B798" s="89"/>
    </row>
    <row r="799">
      <c r="B799" s="89"/>
    </row>
    <row r="800">
      <c r="B800" s="89"/>
    </row>
    <row r="801">
      <c r="B801" s="89"/>
    </row>
    <row r="802">
      <c r="B802" s="89"/>
    </row>
    <row r="803">
      <c r="B803" s="89"/>
    </row>
    <row r="804">
      <c r="B804" s="89"/>
    </row>
    <row r="805">
      <c r="B805" s="89"/>
    </row>
    <row r="806">
      <c r="B806" s="89"/>
    </row>
    <row r="807">
      <c r="B807" s="89"/>
    </row>
    <row r="808">
      <c r="B808" s="89"/>
    </row>
    <row r="809">
      <c r="B809" s="89"/>
    </row>
    <row r="810">
      <c r="B810" s="89"/>
    </row>
    <row r="811">
      <c r="B811" s="89"/>
    </row>
    <row r="812">
      <c r="B812" s="89"/>
    </row>
    <row r="813">
      <c r="B813" s="89"/>
    </row>
    <row r="814">
      <c r="B814" s="89"/>
    </row>
    <row r="815">
      <c r="B815" s="89"/>
    </row>
    <row r="816">
      <c r="B816" s="89"/>
    </row>
    <row r="817">
      <c r="B817" s="89"/>
    </row>
    <row r="818">
      <c r="B818" s="89"/>
    </row>
    <row r="819">
      <c r="B819" s="89"/>
    </row>
    <row r="820">
      <c r="B820" s="89"/>
    </row>
    <row r="821">
      <c r="B821" s="89"/>
    </row>
    <row r="822">
      <c r="B822" s="89"/>
    </row>
    <row r="823">
      <c r="B823" s="89"/>
    </row>
    <row r="824">
      <c r="B824" s="89"/>
    </row>
    <row r="825">
      <c r="B825" s="89"/>
    </row>
    <row r="826">
      <c r="B826" s="89"/>
    </row>
    <row r="827">
      <c r="B827" s="89"/>
    </row>
    <row r="828">
      <c r="B828" s="89"/>
    </row>
    <row r="829">
      <c r="B829" s="89"/>
    </row>
    <row r="830">
      <c r="B830" s="89"/>
    </row>
    <row r="831">
      <c r="B831" s="89"/>
    </row>
    <row r="832">
      <c r="B832" s="89"/>
    </row>
    <row r="833">
      <c r="B833" s="89"/>
    </row>
    <row r="834">
      <c r="B834" s="89"/>
    </row>
    <row r="835">
      <c r="B835" s="89"/>
    </row>
    <row r="836">
      <c r="B836" s="89"/>
    </row>
    <row r="837">
      <c r="B837" s="89"/>
    </row>
    <row r="838">
      <c r="B838" s="89"/>
    </row>
    <row r="839">
      <c r="B839" s="89"/>
    </row>
    <row r="840">
      <c r="B840" s="89"/>
    </row>
    <row r="841">
      <c r="B841" s="89"/>
    </row>
    <row r="842">
      <c r="B842" s="89"/>
    </row>
    <row r="843">
      <c r="B843" s="89"/>
    </row>
    <row r="844">
      <c r="B844" s="89"/>
    </row>
    <row r="845">
      <c r="B845" s="89"/>
    </row>
    <row r="846">
      <c r="B846" s="89"/>
    </row>
    <row r="847">
      <c r="B847" s="89"/>
    </row>
    <row r="848">
      <c r="B848" s="89"/>
    </row>
    <row r="849">
      <c r="B849" s="89"/>
    </row>
    <row r="850">
      <c r="B850" s="89"/>
    </row>
    <row r="851">
      <c r="B851" s="89"/>
    </row>
    <row r="852">
      <c r="B852" s="89"/>
    </row>
    <row r="853">
      <c r="B853" s="89"/>
    </row>
    <row r="854">
      <c r="B854" s="89"/>
    </row>
    <row r="855">
      <c r="B855" s="89"/>
    </row>
    <row r="856">
      <c r="B856" s="89"/>
    </row>
    <row r="857">
      <c r="B857" s="89"/>
    </row>
    <row r="858">
      <c r="B858" s="89"/>
    </row>
    <row r="859">
      <c r="B859" s="89"/>
    </row>
    <row r="860">
      <c r="B860" s="89"/>
    </row>
    <row r="861">
      <c r="B861" s="89"/>
    </row>
    <row r="862">
      <c r="B862" s="89"/>
    </row>
    <row r="863">
      <c r="B863" s="89"/>
    </row>
    <row r="864">
      <c r="B864" s="89"/>
    </row>
    <row r="865">
      <c r="B865" s="89"/>
    </row>
    <row r="866">
      <c r="B866" s="89"/>
    </row>
    <row r="867">
      <c r="B867" s="89"/>
    </row>
    <row r="868">
      <c r="B868" s="89"/>
    </row>
    <row r="869">
      <c r="B869" s="89"/>
    </row>
    <row r="870">
      <c r="B870" s="89"/>
    </row>
    <row r="871">
      <c r="B871" s="89"/>
    </row>
    <row r="872">
      <c r="B872" s="89"/>
    </row>
    <row r="873">
      <c r="B873" s="89"/>
    </row>
    <row r="874">
      <c r="B874" s="89"/>
    </row>
    <row r="875">
      <c r="B875" s="89"/>
    </row>
    <row r="876">
      <c r="B876" s="89"/>
    </row>
    <row r="877">
      <c r="B877" s="89"/>
    </row>
    <row r="878">
      <c r="B878" s="89"/>
    </row>
    <row r="879">
      <c r="B879" s="89"/>
    </row>
    <row r="880">
      <c r="B880" s="89"/>
    </row>
    <row r="881">
      <c r="B881" s="89"/>
    </row>
    <row r="882">
      <c r="B882" s="89"/>
    </row>
    <row r="883">
      <c r="B883" s="89"/>
    </row>
    <row r="884">
      <c r="B884" s="89"/>
    </row>
    <row r="885">
      <c r="B885" s="89"/>
    </row>
    <row r="886">
      <c r="B886" s="89"/>
    </row>
    <row r="887">
      <c r="B887" s="89"/>
    </row>
    <row r="888">
      <c r="B888" s="89"/>
    </row>
    <row r="889">
      <c r="B889" s="89"/>
    </row>
    <row r="890">
      <c r="B890" s="89"/>
    </row>
    <row r="891">
      <c r="B891" s="89"/>
    </row>
    <row r="892">
      <c r="B892" s="89"/>
    </row>
    <row r="893">
      <c r="B893" s="89"/>
    </row>
    <row r="894">
      <c r="B894" s="89"/>
    </row>
    <row r="895">
      <c r="B895" s="89"/>
    </row>
    <row r="896">
      <c r="B896" s="89"/>
    </row>
    <row r="897">
      <c r="B897" s="89"/>
    </row>
    <row r="898">
      <c r="B898" s="89"/>
    </row>
    <row r="899">
      <c r="B899" s="89"/>
    </row>
    <row r="900">
      <c r="B900" s="89"/>
    </row>
    <row r="901">
      <c r="B901" s="89"/>
    </row>
    <row r="902">
      <c r="B902" s="89"/>
    </row>
    <row r="903">
      <c r="B903" s="89"/>
    </row>
    <row r="904">
      <c r="B904" s="89"/>
    </row>
    <row r="905">
      <c r="B905" s="89"/>
    </row>
    <row r="906">
      <c r="B906" s="89"/>
    </row>
    <row r="907">
      <c r="B907" s="89"/>
    </row>
    <row r="908">
      <c r="B908" s="89"/>
    </row>
    <row r="909">
      <c r="B909" s="89"/>
    </row>
    <row r="910">
      <c r="B910" s="89"/>
    </row>
    <row r="911">
      <c r="B911" s="89"/>
    </row>
    <row r="912">
      <c r="B912" s="89"/>
    </row>
    <row r="913">
      <c r="B913" s="89"/>
    </row>
    <row r="914">
      <c r="B914" s="89"/>
    </row>
    <row r="915">
      <c r="B915" s="89"/>
    </row>
    <row r="916">
      <c r="B916" s="89"/>
    </row>
    <row r="917">
      <c r="B917" s="89"/>
    </row>
    <row r="918">
      <c r="B918" s="89"/>
    </row>
    <row r="919">
      <c r="B919" s="89"/>
    </row>
    <row r="920">
      <c r="B920" s="89"/>
    </row>
    <row r="921">
      <c r="B921" s="89"/>
    </row>
    <row r="922">
      <c r="B922" s="89"/>
    </row>
    <row r="923">
      <c r="B923" s="89"/>
    </row>
    <row r="924">
      <c r="B924" s="89"/>
    </row>
    <row r="925">
      <c r="B925" s="89"/>
    </row>
    <row r="926">
      <c r="B926" s="89"/>
    </row>
    <row r="927">
      <c r="B927" s="89"/>
    </row>
    <row r="928">
      <c r="B928" s="89"/>
    </row>
    <row r="929">
      <c r="B929" s="89"/>
    </row>
    <row r="930">
      <c r="B930" s="89"/>
    </row>
    <row r="931">
      <c r="B931" s="89"/>
    </row>
    <row r="932">
      <c r="B932" s="89"/>
    </row>
    <row r="933">
      <c r="B933" s="89"/>
    </row>
    <row r="934">
      <c r="B934" s="89"/>
    </row>
    <row r="935">
      <c r="B935" s="89"/>
    </row>
  </sheetData>
  <mergeCells count="1">
    <mergeCell ref="A2:AA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9.0"/>
    <col customWidth="1" min="2" max="2" width="16.75"/>
    <col customWidth="1" min="3" max="3" width="12.0"/>
    <col customWidth="1" min="4" max="4" width="9.63"/>
    <col customWidth="1" min="5" max="5" width="11.38"/>
    <col customWidth="1" min="6" max="6" width="13.5"/>
    <col customWidth="1" min="7" max="7" width="15.88"/>
    <col customWidth="1" min="8" max="12" width="13.5"/>
    <col customWidth="1" min="13" max="13" width="11.13"/>
    <col customWidth="1" min="14" max="14" width="10.25"/>
    <col customWidth="1" min="15" max="15" width="10.38"/>
    <col customWidth="1" min="16" max="16" width="11.13"/>
    <col customWidth="1" min="17" max="17" width="12.25"/>
    <col customWidth="1" min="18" max="18" width="10.25"/>
    <col customWidth="1" min="19" max="19" width="9.75"/>
    <col customWidth="1" min="20" max="20" width="14.0"/>
    <col customWidth="1" min="21" max="21" width="7.75"/>
    <col customWidth="1" hidden="1" min="22" max="22" width="17.13"/>
    <col customWidth="1" min="23" max="23" width="15.25"/>
    <col customWidth="1" min="24" max="24" width="8.13"/>
    <col customWidth="1" min="25" max="25" width="7.75"/>
  </cols>
  <sheetData>
    <row r="1">
      <c r="A1" s="266" t="s">
        <v>0</v>
      </c>
      <c r="B1" s="267">
        <v>10000.0</v>
      </c>
      <c r="C1" s="3" t="s">
        <v>88</v>
      </c>
      <c r="D1" s="4">
        <v>500.0</v>
      </c>
      <c r="E1" s="5" t="s">
        <v>2</v>
      </c>
      <c r="F1" s="6">
        <v>300.0</v>
      </c>
      <c r="G1" s="7" t="s">
        <v>89</v>
      </c>
      <c r="H1" s="7" t="s">
        <v>90</v>
      </c>
      <c r="I1" s="9" t="s">
        <v>5</v>
      </c>
      <c r="J1" s="2">
        <f>sum(H:H)</f>
        <v>43832.86634</v>
      </c>
      <c r="K1" s="9" t="s">
        <v>6</v>
      </c>
      <c r="L1" s="2">
        <f>sum(I:I)</f>
        <v>428.7033032</v>
      </c>
      <c r="M1" s="10" t="s">
        <v>7</v>
      </c>
      <c r="N1" s="11">
        <f>(L1-J1)/B1</f>
        <v>-4.340416303</v>
      </c>
      <c r="O1" s="9" t="s">
        <v>8</v>
      </c>
      <c r="P1" s="2">
        <f>B1-J1</f>
        <v>-33832.86634</v>
      </c>
      <c r="Q1" s="12">
        <f>L1-J1+B1</f>
        <v>-33404.16303</v>
      </c>
      <c r="R1" s="13" t="s">
        <v>9</v>
      </c>
      <c r="S1" s="14"/>
      <c r="T1" s="14"/>
      <c r="U1" s="14"/>
      <c r="V1" s="15"/>
      <c r="W1" s="16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7"/>
    </row>
    <row r="2">
      <c r="A2" s="18" t="s">
        <v>10</v>
      </c>
      <c r="B2" s="27"/>
      <c r="C2" s="268"/>
      <c r="D2" s="19"/>
      <c r="E2" s="19">
        <v>100.0</v>
      </c>
      <c r="F2" s="19">
        <v>150.0</v>
      </c>
      <c r="G2" s="19">
        <v>250.0</v>
      </c>
      <c r="H2" s="20" t="s">
        <v>91</v>
      </c>
      <c r="I2" s="21"/>
      <c r="J2" s="27"/>
      <c r="K2" s="21"/>
      <c r="L2" s="27"/>
      <c r="M2" s="25"/>
      <c r="N2" s="26"/>
      <c r="O2" s="21"/>
      <c r="P2" s="27"/>
      <c r="Q2" s="27"/>
      <c r="R2" s="28"/>
      <c r="S2" s="29"/>
      <c r="T2" s="29"/>
      <c r="U2" s="29"/>
      <c r="V2" s="30"/>
      <c r="W2" s="31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32"/>
    </row>
    <row r="3">
      <c r="A3" s="33" t="s">
        <v>13</v>
      </c>
      <c r="B3" s="34" t="s">
        <v>14</v>
      </c>
      <c r="C3" s="35" t="s">
        <v>15</v>
      </c>
      <c r="D3" s="36" t="s">
        <v>16</v>
      </c>
      <c r="E3" s="37" t="s">
        <v>17</v>
      </c>
      <c r="F3" s="37" t="s">
        <v>92</v>
      </c>
      <c r="G3" s="37" t="s">
        <v>19</v>
      </c>
      <c r="H3" s="38" t="s">
        <v>20</v>
      </c>
      <c r="I3" s="38" t="s">
        <v>21</v>
      </c>
      <c r="J3" s="39" t="s">
        <v>22</v>
      </c>
      <c r="K3" s="40" t="s">
        <v>23</v>
      </c>
      <c r="L3" s="37" t="s">
        <v>24</v>
      </c>
      <c r="M3" s="41" t="s">
        <v>25</v>
      </c>
      <c r="N3" s="37" t="s">
        <v>26</v>
      </c>
      <c r="O3" s="37" t="s">
        <v>93</v>
      </c>
      <c r="P3" s="42" t="s">
        <v>94</v>
      </c>
      <c r="Q3" s="42" t="s">
        <v>95</v>
      </c>
      <c r="R3" s="37" t="s">
        <v>30</v>
      </c>
      <c r="S3" s="43" t="s">
        <v>31</v>
      </c>
      <c r="T3" s="42" t="s">
        <v>32</v>
      </c>
      <c r="U3" s="42" t="s">
        <v>33</v>
      </c>
      <c r="V3" s="44" t="s">
        <v>34</v>
      </c>
      <c r="W3" s="45" t="s">
        <v>35</v>
      </c>
      <c r="X3" s="37" t="s">
        <v>36</v>
      </c>
      <c r="Y3" s="37" t="s">
        <v>37</v>
      </c>
      <c r="Z3" s="37" t="s">
        <v>38</v>
      </c>
      <c r="AA3" s="37" t="s">
        <v>39</v>
      </c>
      <c r="AB3" s="37" t="s">
        <v>40</v>
      </c>
      <c r="AC3" s="37" t="s">
        <v>41</v>
      </c>
      <c r="AD3" s="37" t="s">
        <v>42</v>
      </c>
      <c r="AE3" s="37" t="s">
        <v>43</v>
      </c>
      <c r="AF3" s="46"/>
      <c r="AG3" s="46"/>
      <c r="AH3" s="46"/>
      <c r="AI3" s="46"/>
      <c r="AJ3" s="46"/>
      <c r="AK3" s="46"/>
      <c r="AL3" s="46"/>
      <c r="AM3" s="46"/>
    </row>
    <row r="4">
      <c r="A4" s="47" t="s">
        <v>70</v>
      </c>
      <c r="B4" s="48" t="str">
        <f>IFERROR(__xludf.DUMMYFUNCTION("GOOGLEFINANCE(A4,""name"")"),"Terrascend Corp")</f>
        <v>Terrascend Corp</v>
      </c>
      <c r="C4" s="269" t="s">
        <v>96</v>
      </c>
      <c r="D4" s="50">
        <f>IFERROR(__xludf.DUMMYFUNCTION("GOOGLEFINANCE(A4)"),0.47)</f>
        <v>0.47</v>
      </c>
      <c r="E4" s="51">
        <v>69.0</v>
      </c>
      <c r="F4" s="52">
        <f>IFERROR(__xludf.DUMMYFUNCTION("IF(M4=""USD"",E4/GOOGLEFINANCE(""CURRENCY:GBPUSD""),E4)"),69.0)</f>
        <v>69</v>
      </c>
      <c r="G4" s="51">
        <v>725.0</v>
      </c>
      <c r="H4" s="53">
        <f>IFERROR(__xludf.DUMMYFUNCTION("if(isblank(A4)=TRUE,0,if(M4=""GBX"",E4*G4/100,IF(M4=""EUR"",E4*G4/GOOGLEFINANCE(""CURRENCY:GBPEUR""),E4*G4/GOOGLEFINANCE(""CURRENCY:GBPUSD""))))"),43718.40192963981)</f>
        <v>43718.40193</v>
      </c>
      <c r="I4" s="54">
        <f>IFERROR(__xludf.DUMMYFUNCTION("if(isblank(A4)=TRUE,0,if(M4=""GBX"",D4*G4/100,IF(M4=""EUR"",D4*G4/GOOGLEFINANCE(""CURRENCY:GBPEUR""),D4*G4/GOOGLEFINANCE(""CURRENCY:GBPUSD""))))"),297.7920131439233)</f>
        <v>297.7920131</v>
      </c>
      <c r="J4" s="55">
        <f t="shared" ref="J4:J31" si="1">H4/$B$1</f>
        <v>4.371840193</v>
      </c>
      <c r="K4" s="55">
        <f t="shared" ref="K4:K31" si="2">I4/H4-1</f>
        <v>-0.9931884058</v>
      </c>
      <c r="L4" s="56" t="str">
        <f>IFERROR(__xludf.DUMMYFUNCTION("SPARKLINE(GoogleFinance(A4, ""price"", TODAY()-30, TODAY()),{""color"",""blue"";""linewidth"",2})        "),"")</f>
        <v/>
      </c>
      <c r="M4" s="17" t="str">
        <f>IFERROR(__xludf.DUMMYFUNCTION("GOOGLEFINANCE(A4,""currency"")"),"EUR")</f>
        <v>EUR</v>
      </c>
      <c r="N4" s="57">
        <f t="shared" ref="N4:N31" si="3">round(D4/AE4-1,4)</f>
        <v>0</v>
      </c>
      <c r="O4" s="58">
        <f>IFERROR(__xludf.DUMMYFUNCTION("GOOGLEFINANCE(A4,""Change"")"),0.0)</f>
        <v>0</v>
      </c>
      <c r="P4" s="59">
        <f>IFERROR(__xludf.DUMMYFUNCTION("GOOGLEFINANCE(A4,""High"")"),0.49)</f>
        <v>0.49</v>
      </c>
      <c r="Q4" s="59">
        <f>IFERROR(__xludf.DUMMYFUNCTION("GOOGLEFINANCE(A4,""low"")"),0.47)</f>
        <v>0.47</v>
      </c>
      <c r="R4" s="57">
        <f>IFERROR(__xludf.DUMMYFUNCTION("abs(P4-Q4)/GOOGLEFINANCE(A4,""closeyest"")"),0.04255319148936174)</f>
        <v>0.04255319149</v>
      </c>
      <c r="S4" s="60">
        <f t="shared" ref="S4:S31" si="4">D4/Y4-1</f>
        <v>1.764705882</v>
      </c>
      <c r="T4" s="61">
        <v>34.5</v>
      </c>
      <c r="U4" s="61">
        <v>150.0</v>
      </c>
      <c r="V4" s="63"/>
      <c r="W4" s="64" t="str">
        <f t="shared" ref="W4:W31" si="5">IF(ISERROR(if(or(AND(Q4&lt;=T4,T4&lt;=P4),AND(Q4&lt;=U4, U4&lt;=P4)),"TRADE ALERT","")),"DATA UNAVAILABLE",if(or(AND(Q4&lt;=T4,T4&lt;=P4),T4&gt;P4,AND(Q4&lt;=U4, U4&lt;=P4)),"TRADE ALERT"&amp;" - Price level hit for "&amp;A4&amp;" currently at "&amp;D4&amp;" "&amp;B4,""))</f>
        <v>TRADE ALERT - Price level hit for TED currently at 0.47 Terrascend Corp</v>
      </c>
      <c r="X4" s="65" t="str">
        <f>IFERROR(__xludf.DUMMYFUNCTION("GOOGLEFINANCE($A4,X$3)"),"#N/A")</f>
        <v>#N/A</v>
      </c>
      <c r="Y4" s="65">
        <f>IFERROR(__xludf.DUMMYFUNCTION("GOOGLEFINANCE($A4,Y$3)"),0.17)</f>
        <v>0.17</v>
      </c>
      <c r="Z4" s="65">
        <f>IFERROR(__xludf.DUMMYFUNCTION("GOOGLEFINANCE($A4,Z$3)"),1.09)</f>
        <v>1.09</v>
      </c>
      <c r="AA4" s="65" t="str">
        <f>IFERROR(__xludf.DUMMYFUNCTION("GOOGLEFINANCE($A4,AA$3)"),"#N/A")</f>
        <v>#N/A</v>
      </c>
      <c r="AB4" s="65" t="str">
        <f>IFERROR(__xludf.DUMMYFUNCTION("GOOGLEFINANCE($A4,AB$3)"),"#N/A")</f>
        <v>#N/A</v>
      </c>
      <c r="AC4" s="65">
        <f>IFERROR(__xludf.DUMMYFUNCTION("GOOGLEFINANCE($A4,AC$3)"),15.0)</f>
        <v>15</v>
      </c>
      <c r="AD4" s="65">
        <f>IFERROR(__xludf.DUMMYFUNCTION("GOOGLEFINANCE($A4,AD$3)"),3.01350132E8)</f>
        <v>301350132</v>
      </c>
      <c r="AE4" s="65">
        <f>IFERROR(__xludf.DUMMYFUNCTION("GOOGLEFINANCE($A4,AE$3)"),0.47)</f>
        <v>0.47</v>
      </c>
      <c r="AF4" s="17"/>
      <c r="AG4" s="17"/>
      <c r="AH4" s="17"/>
      <c r="AI4" s="17"/>
      <c r="AJ4" s="17"/>
      <c r="AK4" s="17"/>
    </row>
    <row r="5">
      <c r="A5" s="47" t="s">
        <v>97</v>
      </c>
      <c r="B5" s="48" t="str">
        <f>IFERROR(__xludf.DUMMYFUNCTION("GOOGLEFINANCE(A5,""name"")"),"Manchester United PLC")</f>
        <v>Manchester United PLC</v>
      </c>
      <c r="C5" s="269" t="s">
        <v>98</v>
      </c>
      <c r="D5" s="50">
        <f>IFERROR(__xludf.DUMMYFUNCTION("GOOGLEFINANCE(A5)"),17.75)</f>
        <v>17.75</v>
      </c>
      <c r="E5" s="51">
        <v>15.52</v>
      </c>
      <c r="F5" s="52">
        <f>IFERROR(__xludf.DUMMYFUNCTION("IF(M5=""USD"",E5/GOOGLEFINANCE(""CURRENCY:GBPUSD""),E5)"),11.446440687966486)</f>
        <v>11.44644069</v>
      </c>
      <c r="G5" s="51">
        <v>10.0</v>
      </c>
      <c r="H5" s="53">
        <f>IFERROR(__xludf.DUMMYFUNCTION("if(isblank(A5)=TRUE,0,if(M5=""GBX"",E5*G5/100,IF(M5=""EUR"",E5*G5/GOOGLEFINANCE(""CURRENCY:GBPEUR""),E5*G5/GOOGLEFINANCE(""CURRENCY:GBPUSD""))))"),114.46440687966486)</f>
        <v>114.4644069</v>
      </c>
      <c r="I5" s="54">
        <f>IFERROR(__xludf.DUMMYFUNCTION("if(isblank(A5)=TRUE,0,if(M5=""GBX"",D5*G5/100,IF(M5=""EUR"",D5*G5/GOOGLEFINANCE(""CURRENCY:GBPEUR""),D5*G5/GOOGLEFINANCE(""CURRENCY:GBPUSD""))))"),130.91129008466825)</f>
        <v>130.9112901</v>
      </c>
      <c r="J5" s="55">
        <f t="shared" si="1"/>
        <v>0.01144644069</v>
      </c>
      <c r="K5" s="55">
        <f t="shared" si="2"/>
        <v>0.143685567</v>
      </c>
      <c r="L5" s="56" t="str">
        <f>IFERROR(__xludf.DUMMYFUNCTION("SPARKLINE(GoogleFinance(A5, ""price"", TODAY()-30, TODAY()),{""color"",""blue"";""linewidth"",2})        "),"")</f>
        <v/>
      </c>
      <c r="M5" s="17" t="str">
        <f>IFERROR(__xludf.DUMMYFUNCTION("GOOGLEFINANCE(A5,""currency"")"),"USD")</f>
        <v>USD</v>
      </c>
      <c r="N5" s="57">
        <f t="shared" si="3"/>
        <v>0.0178</v>
      </c>
      <c r="O5" s="58">
        <f>IFERROR(__xludf.DUMMYFUNCTION("GOOGLEFINANCE(A5,""Change"")"),0.31)</f>
        <v>0.31</v>
      </c>
      <c r="P5" s="59">
        <f>IFERROR(__xludf.DUMMYFUNCTION("GOOGLEFINANCE(A5,""High"")"),17.75)</f>
        <v>17.75</v>
      </c>
      <c r="Q5" s="59">
        <f>IFERROR(__xludf.DUMMYFUNCTION("GOOGLEFINANCE(A5,""low"")"),17.34)</f>
        <v>17.34</v>
      </c>
      <c r="R5" s="57">
        <f>IFERROR(__xludf.DUMMYFUNCTION("abs(P5-Q5)/GOOGLEFINANCE(A5,""closeyest"")"),0.02350917431192661)</f>
        <v>0.02350917431</v>
      </c>
      <c r="S5" s="60">
        <f t="shared" si="4"/>
        <v>0.4730290456</v>
      </c>
      <c r="T5" s="61">
        <v>7.0</v>
      </c>
      <c r="U5" s="61">
        <v>25.0</v>
      </c>
      <c r="V5" s="63"/>
      <c r="W5" s="64" t="str">
        <f t="shared" si="5"/>
        <v/>
      </c>
      <c r="X5" s="65">
        <f>IFERROR(__xludf.DUMMYFUNCTION("GOOGLEFINANCE($A5,X$3)"),0.54)</f>
        <v>0.54</v>
      </c>
      <c r="Y5" s="65">
        <f>IFERROR(__xludf.DUMMYFUNCTION("GOOGLEFINANCE($A5,Y$3)"),12.05)</f>
        <v>12.05</v>
      </c>
      <c r="Z5" s="65">
        <f>IFERROR(__xludf.DUMMYFUNCTION("GOOGLEFINANCE($A5,Z$3)"),19.65)</f>
        <v>19.65</v>
      </c>
      <c r="AA5" s="65" t="str">
        <f>IFERROR(__xludf.DUMMYFUNCTION("GOOGLEFINANCE($A5,AA$3)"),"#N/A")</f>
        <v>#N/A</v>
      </c>
      <c r="AB5" s="65" t="str">
        <f>IFERROR(__xludf.DUMMYFUNCTION("GOOGLEFINANCE($A5,AB$3)"),"#N/A")</f>
        <v>#N/A</v>
      </c>
      <c r="AC5" s="65">
        <f>IFERROR(__xludf.DUMMYFUNCTION("GOOGLEFINANCE($A5,AC$3)"),0.0)</f>
        <v>0</v>
      </c>
      <c r="AD5" s="65">
        <f>IFERROR(__xludf.DUMMYFUNCTION("GOOGLEFINANCE($A5,AD$3)"),3.055579075E9)</f>
        <v>3055579075</v>
      </c>
      <c r="AE5" s="65">
        <f>IFERROR(__xludf.DUMMYFUNCTION("GOOGLEFINANCE($A5,AE$3)"),17.44)</f>
        <v>17.44</v>
      </c>
      <c r="AF5" s="17"/>
      <c r="AG5" s="17"/>
      <c r="AH5" s="17"/>
      <c r="AI5" s="17"/>
      <c r="AJ5" s="17"/>
      <c r="AK5" s="17"/>
    </row>
    <row r="6">
      <c r="A6" s="47"/>
      <c r="B6" s="48" t="str">
        <f>IFERROR(__xludf.DUMMYFUNCTION("GOOGLEFINANCE(A6,""name"")"),"#N/A")</f>
        <v>#N/A</v>
      </c>
      <c r="C6" s="270"/>
      <c r="D6" s="50" t="str">
        <f>IFERROR(__xludf.DUMMYFUNCTION("GOOGLEFINANCE(A6)"),"#N/A")</f>
        <v>#N/A</v>
      </c>
      <c r="E6" s="51"/>
      <c r="F6" s="52" t="str">
        <f>IFERROR(__xludf.DUMMYFUNCTION("IF(M6=""USD"",E6/GOOGLEFINANCE(""CURRENCY:GBPUSD""),E6)"),"#N/A")</f>
        <v>#N/A</v>
      </c>
      <c r="G6" s="51"/>
      <c r="H6" s="53">
        <f>IFERROR(__xludf.DUMMYFUNCTION("if(isblank(A6)=TRUE,0,if(M6=""GBX"",E6*G6/100,IF(M6=""EUR"",E6*G6/GOOGLEFINANCE(""CURRENCY:GBPEUR""),E6*G6/GOOGLEFINANCE(""CURRENCY:GBPUSD""))))"),0.0)</f>
        <v>0</v>
      </c>
      <c r="I6" s="54">
        <f>IFERROR(__xludf.DUMMYFUNCTION("if(isblank(A6)=TRUE,0,if(M6=""GBX"",D6*G6/100,IF(M6=""EUR"",D6*G6/GOOGLEFINANCE(""CURRENCY:GBPEUR""),D6*G6/GOOGLEFINANCE(""CURRENCY:GBPUSD""))))"),0.0)</f>
        <v>0</v>
      </c>
      <c r="J6" s="55">
        <f t="shared" si="1"/>
        <v>0</v>
      </c>
      <c r="K6" s="55" t="str">
        <f t="shared" si="2"/>
        <v>#DIV/0!</v>
      </c>
      <c r="L6" s="56" t="str">
        <f>IFERROR(__xludf.DUMMYFUNCTION("SPARKLINE(GoogleFinance(A6, ""price"", TODAY()-30, TODAY()),{""color"",""blue"";""linewidth"",2})        "),"#N/A")</f>
        <v>#N/A</v>
      </c>
      <c r="M6" s="17" t="str">
        <f>IFERROR(__xludf.DUMMYFUNCTION("GOOGLEFINANCE(A6,""currency"")"),"#N/A")</f>
        <v>#N/A</v>
      </c>
      <c r="N6" s="57" t="str">
        <f t="shared" si="3"/>
        <v>#N/A</v>
      </c>
      <c r="O6" s="58" t="str">
        <f>IFERROR(__xludf.DUMMYFUNCTION("GOOGLEFINANCE(A6,""Change"")"),"#N/A")</f>
        <v>#N/A</v>
      </c>
      <c r="P6" s="59" t="str">
        <f>IFERROR(__xludf.DUMMYFUNCTION("GOOGLEFINANCE(A6,""High"")"),"#N/A")</f>
        <v>#N/A</v>
      </c>
      <c r="Q6" s="59" t="str">
        <f>IFERROR(__xludf.DUMMYFUNCTION("GOOGLEFINANCE(A6,""low"")"),"#N/A")</f>
        <v>#N/A</v>
      </c>
      <c r="R6" s="57" t="str">
        <f>IFERROR(__xludf.DUMMYFUNCTION("abs(P6-Q6)/GOOGLEFINANCE(A6,""closeyest"")"),"#N/A")</f>
        <v>#N/A</v>
      </c>
      <c r="S6" s="60" t="str">
        <f t="shared" si="4"/>
        <v>#N/A</v>
      </c>
      <c r="T6" s="61"/>
      <c r="U6" s="62"/>
      <c r="V6" s="63"/>
      <c r="W6" s="64" t="str">
        <f t="shared" si="5"/>
        <v>DATA UNAVAILABLE</v>
      </c>
      <c r="X6" s="65" t="str">
        <f>IFERROR(__xludf.DUMMYFUNCTION("GOOGLEFINANCE($A6,X$3)"),"#N/A")</f>
        <v>#N/A</v>
      </c>
      <c r="Y6" s="65" t="str">
        <f>IFERROR(__xludf.DUMMYFUNCTION("GOOGLEFINANCE($A6,Y$3)"),"#N/A")</f>
        <v>#N/A</v>
      </c>
      <c r="Z6" s="65" t="str">
        <f>IFERROR(__xludf.DUMMYFUNCTION("GOOGLEFINANCE($A6,Z$3)"),"#N/A")</f>
        <v>#N/A</v>
      </c>
      <c r="AA6" s="65" t="str">
        <f>IFERROR(__xludf.DUMMYFUNCTION("GOOGLEFINANCE($A6,AA$3)"),"#N/A")</f>
        <v>#N/A</v>
      </c>
      <c r="AB6" s="65" t="str">
        <f>IFERROR(__xludf.DUMMYFUNCTION("GOOGLEFINANCE($A6,AB$3)"),"#N/A")</f>
        <v>#N/A</v>
      </c>
      <c r="AC6" s="65" t="str">
        <f>IFERROR(__xludf.DUMMYFUNCTION("GOOGLEFINANCE($A6,AC$3)"),"#N/A")</f>
        <v>#N/A</v>
      </c>
      <c r="AD6" s="65" t="str">
        <f>IFERROR(__xludf.DUMMYFUNCTION("GOOGLEFINANCE($A6,AD$3)"),"#N/A")</f>
        <v>#N/A</v>
      </c>
      <c r="AE6" s="65" t="str">
        <f>IFERROR(__xludf.DUMMYFUNCTION("GOOGLEFINANCE($A6,AE$3)"),"#N/A")</f>
        <v>#N/A</v>
      </c>
      <c r="AF6" s="17"/>
      <c r="AG6" s="17"/>
      <c r="AH6" s="17"/>
      <c r="AI6" s="17"/>
      <c r="AJ6" s="17"/>
      <c r="AK6" s="17"/>
    </row>
    <row r="7">
      <c r="A7" s="47"/>
      <c r="B7" s="48" t="str">
        <f>IFERROR(__xludf.DUMMYFUNCTION("GOOGLEFINANCE(A7,""name"")"),"#N/A")</f>
        <v>#N/A</v>
      </c>
      <c r="C7" s="270"/>
      <c r="D7" s="50" t="str">
        <f>IFERROR(__xludf.DUMMYFUNCTION("GOOGLEFINANCE(A7)"),"#N/A")</f>
        <v>#N/A</v>
      </c>
      <c r="E7" s="51"/>
      <c r="F7" s="52" t="str">
        <f>IFERROR(__xludf.DUMMYFUNCTION("IF(M7=""USD"",E7/GOOGLEFINANCE(""CURRENCY:GBPUSD""),E7)"),"#N/A")</f>
        <v>#N/A</v>
      </c>
      <c r="G7" s="51"/>
      <c r="H7" s="53">
        <f>IFERROR(__xludf.DUMMYFUNCTION("if(isblank(A7)=TRUE,0,if(M7=""GBX"",E7*G7/100,IF(M7=""EUR"",E7*G7/GOOGLEFINANCE(""CURRENCY:GBPEUR""),E7*G7/GOOGLEFINANCE(""CURRENCY:GBPUSD""))))"),0.0)</f>
        <v>0</v>
      </c>
      <c r="I7" s="54">
        <f>IFERROR(__xludf.DUMMYFUNCTION("if(isblank(A7)=TRUE,0,if(M7=""GBX"",D7*G7/100,IF(M7=""EUR"",D7*G7/GOOGLEFINANCE(""CURRENCY:GBPEUR""),D7*G7/GOOGLEFINANCE(""CURRENCY:GBPUSD""))))"),0.0)</f>
        <v>0</v>
      </c>
      <c r="J7" s="55">
        <f t="shared" si="1"/>
        <v>0</v>
      </c>
      <c r="K7" s="55" t="str">
        <f t="shared" si="2"/>
        <v>#DIV/0!</v>
      </c>
      <c r="L7" s="56" t="str">
        <f>IFERROR(__xludf.DUMMYFUNCTION("SPARKLINE(GoogleFinance(A7, ""price"", TODAY()-30, TODAY()),{""color"",""blue"";""linewidth"",2})        "),"#N/A")</f>
        <v>#N/A</v>
      </c>
      <c r="M7" s="17" t="str">
        <f>IFERROR(__xludf.DUMMYFUNCTION("GOOGLEFINANCE(A7,""currency"")"),"#N/A")</f>
        <v>#N/A</v>
      </c>
      <c r="N7" s="57" t="str">
        <f t="shared" si="3"/>
        <v>#N/A</v>
      </c>
      <c r="O7" s="58" t="str">
        <f>IFERROR(__xludf.DUMMYFUNCTION("GOOGLEFINANCE(A7,""Change"")"),"#N/A")</f>
        <v>#N/A</v>
      </c>
      <c r="P7" s="59" t="str">
        <f>IFERROR(__xludf.DUMMYFUNCTION("GOOGLEFINANCE(A7,""High"")"),"#N/A")</f>
        <v>#N/A</v>
      </c>
      <c r="Q7" s="59" t="str">
        <f>IFERROR(__xludf.DUMMYFUNCTION("GOOGLEFINANCE(A7,""low"")"),"#N/A")</f>
        <v>#N/A</v>
      </c>
      <c r="R7" s="57" t="str">
        <f>IFERROR(__xludf.DUMMYFUNCTION("abs(P7-Q7)/GOOGLEFINANCE(A7,""closeyest"")"),"#N/A")</f>
        <v>#N/A</v>
      </c>
      <c r="S7" s="60" t="str">
        <f t="shared" si="4"/>
        <v>#N/A</v>
      </c>
      <c r="T7" s="62"/>
      <c r="U7" s="62"/>
      <c r="V7" s="63"/>
      <c r="W7" s="64" t="str">
        <f t="shared" si="5"/>
        <v>DATA UNAVAILABLE</v>
      </c>
      <c r="X7" s="65" t="str">
        <f>IFERROR(__xludf.DUMMYFUNCTION("GOOGLEFINANCE($A7,X$3)"),"#N/A")</f>
        <v>#N/A</v>
      </c>
      <c r="Y7" s="65" t="str">
        <f>IFERROR(__xludf.DUMMYFUNCTION("GOOGLEFINANCE($A7,Y$3)"),"#N/A")</f>
        <v>#N/A</v>
      </c>
      <c r="Z7" s="65" t="str">
        <f>IFERROR(__xludf.DUMMYFUNCTION("GOOGLEFINANCE($A7,Z$3)"),"#N/A")</f>
        <v>#N/A</v>
      </c>
      <c r="AA7" s="65" t="str">
        <f>IFERROR(__xludf.DUMMYFUNCTION("GOOGLEFINANCE($A7,AA$3)"),"#N/A")</f>
        <v>#N/A</v>
      </c>
      <c r="AB7" s="65" t="str">
        <f>IFERROR(__xludf.DUMMYFUNCTION("GOOGLEFINANCE($A7,AB$3)"),"#N/A")</f>
        <v>#N/A</v>
      </c>
      <c r="AC7" s="65" t="str">
        <f>IFERROR(__xludf.DUMMYFUNCTION("GOOGLEFINANCE($A7,AC$3)"),"#N/A")</f>
        <v>#N/A</v>
      </c>
      <c r="AD7" s="65" t="str">
        <f>IFERROR(__xludf.DUMMYFUNCTION("GOOGLEFINANCE($A7,AD$3)"),"#N/A")</f>
        <v>#N/A</v>
      </c>
      <c r="AE7" s="65" t="str">
        <f>IFERROR(__xludf.DUMMYFUNCTION("GOOGLEFINANCE($A7,AE$3)"),"#N/A")</f>
        <v>#N/A</v>
      </c>
      <c r="AF7" s="17"/>
      <c r="AG7" s="17"/>
      <c r="AH7" s="17"/>
      <c r="AI7" s="17"/>
      <c r="AJ7" s="17"/>
      <c r="AK7" s="17"/>
    </row>
    <row r="8">
      <c r="A8" s="47"/>
      <c r="B8" s="48" t="str">
        <f>IFERROR(__xludf.DUMMYFUNCTION("GOOGLEFINANCE(A8,""name"")"),"#N/A")</f>
        <v>#N/A</v>
      </c>
      <c r="C8" s="270"/>
      <c r="D8" s="50" t="str">
        <f>IFERROR(__xludf.DUMMYFUNCTION("GOOGLEFINANCE(A8)"),"#N/A")</f>
        <v>#N/A</v>
      </c>
      <c r="E8" s="51"/>
      <c r="F8" s="52" t="str">
        <f>IFERROR(__xludf.DUMMYFUNCTION("IF(M8=""USD"",E8/GOOGLEFINANCE(""CURRENCY:GBPUSD""),E8)"),"#N/A")</f>
        <v>#N/A</v>
      </c>
      <c r="G8" s="51"/>
      <c r="H8" s="53">
        <f>IFERROR(__xludf.DUMMYFUNCTION("if(isblank(A8)=TRUE,0,if(M8=""GBX"",E8*G8/100,IF(M8=""EUR"",E8*G8/GOOGLEFINANCE(""CURRENCY:GBPEUR""),E8*G8/GOOGLEFINANCE(""CURRENCY:GBPUSD""))))"),0.0)</f>
        <v>0</v>
      </c>
      <c r="I8" s="54">
        <f>IFERROR(__xludf.DUMMYFUNCTION("if(isblank(A8)=TRUE,0,if(M8=""GBX"",D8*G8/100,IF(M8=""EUR"",D8*G8/GOOGLEFINANCE(""CURRENCY:GBPEUR""),D8*G8/GOOGLEFINANCE(""CURRENCY:GBPUSD""))))"),0.0)</f>
        <v>0</v>
      </c>
      <c r="J8" s="55">
        <f t="shared" si="1"/>
        <v>0</v>
      </c>
      <c r="K8" s="55" t="str">
        <f t="shared" si="2"/>
        <v>#DIV/0!</v>
      </c>
      <c r="L8" s="56" t="str">
        <f>IFERROR(__xludf.DUMMYFUNCTION("SPARKLINE(GoogleFinance(A8, ""price"", TODAY()-30, TODAY()),{""color"",""blue"";""linewidth"",2})        "),"#N/A")</f>
        <v>#N/A</v>
      </c>
      <c r="M8" s="17" t="str">
        <f>IFERROR(__xludf.DUMMYFUNCTION("GOOGLEFINANCE(A8,""currency"")"),"#N/A")</f>
        <v>#N/A</v>
      </c>
      <c r="N8" s="57" t="str">
        <f t="shared" si="3"/>
        <v>#N/A</v>
      </c>
      <c r="O8" s="58" t="str">
        <f>IFERROR(__xludf.DUMMYFUNCTION("GOOGLEFINANCE(A8,""Change"")"),"#N/A")</f>
        <v>#N/A</v>
      </c>
      <c r="P8" s="59" t="str">
        <f>IFERROR(__xludf.DUMMYFUNCTION("GOOGLEFINANCE(A8,""High"")"),"#N/A")</f>
        <v>#N/A</v>
      </c>
      <c r="Q8" s="59" t="str">
        <f>IFERROR(__xludf.DUMMYFUNCTION("GOOGLEFINANCE(A8,""low"")"),"#N/A")</f>
        <v>#N/A</v>
      </c>
      <c r="R8" s="57" t="str">
        <f>IFERROR(__xludf.DUMMYFUNCTION("abs(P8-Q8)/GOOGLEFINANCE(A8,""closeyest"")"),"#N/A")</f>
        <v>#N/A</v>
      </c>
      <c r="S8" s="60" t="str">
        <f t="shared" si="4"/>
        <v>#N/A</v>
      </c>
      <c r="T8" s="61"/>
      <c r="U8" s="61"/>
      <c r="V8" s="63"/>
      <c r="W8" s="64" t="str">
        <f t="shared" si="5"/>
        <v>DATA UNAVAILABLE</v>
      </c>
      <c r="X8" s="65" t="str">
        <f>IFERROR(__xludf.DUMMYFUNCTION("GOOGLEFINANCE($A8,X$3)"),"#N/A")</f>
        <v>#N/A</v>
      </c>
      <c r="Y8" s="65" t="str">
        <f>IFERROR(__xludf.DUMMYFUNCTION("GOOGLEFINANCE($A8,Y$3)"),"#N/A")</f>
        <v>#N/A</v>
      </c>
      <c r="Z8" s="65" t="str">
        <f>IFERROR(__xludf.DUMMYFUNCTION("GOOGLEFINANCE($A8,Z$3)"),"#N/A")</f>
        <v>#N/A</v>
      </c>
      <c r="AA8" s="65" t="str">
        <f>IFERROR(__xludf.DUMMYFUNCTION("GOOGLEFINANCE($A8,AA$3)"),"#N/A")</f>
        <v>#N/A</v>
      </c>
      <c r="AB8" s="65" t="str">
        <f>IFERROR(__xludf.DUMMYFUNCTION("GOOGLEFINANCE($A8,AB$3)"),"#N/A")</f>
        <v>#N/A</v>
      </c>
      <c r="AC8" s="65" t="str">
        <f>IFERROR(__xludf.DUMMYFUNCTION("GOOGLEFINANCE($A8,AC$3)"),"#N/A")</f>
        <v>#N/A</v>
      </c>
      <c r="AD8" s="65" t="str">
        <f>IFERROR(__xludf.DUMMYFUNCTION("GOOGLEFINANCE($A8,AD$3)"),"#N/A")</f>
        <v>#N/A</v>
      </c>
      <c r="AE8" s="65" t="str">
        <f>IFERROR(__xludf.DUMMYFUNCTION("GOOGLEFINANCE($A8,AE$3)"),"#N/A")</f>
        <v>#N/A</v>
      </c>
      <c r="AF8" s="17"/>
      <c r="AG8" s="17"/>
      <c r="AH8" s="17"/>
      <c r="AI8" s="17"/>
      <c r="AJ8" s="17"/>
      <c r="AK8" s="17"/>
    </row>
    <row r="9">
      <c r="A9" s="47"/>
      <c r="B9" s="48" t="str">
        <f>IFERROR(__xludf.DUMMYFUNCTION("GOOGLEFINANCE(A9,""name"")"),"#N/A")</f>
        <v>#N/A</v>
      </c>
      <c r="C9" s="270"/>
      <c r="D9" s="50" t="str">
        <f>IFERROR(__xludf.DUMMYFUNCTION("GOOGLEFINANCE(A9)"),"#N/A")</f>
        <v>#N/A</v>
      </c>
      <c r="E9" s="51"/>
      <c r="F9" s="52" t="str">
        <f>IFERROR(__xludf.DUMMYFUNCTION("IF(M9=""USD"",E9/GOOGLEFINANCE(""CURRENCY:GBPUSD""),E9)"),"#N/A")</f>
        <v>#N/A</v>
      </c>
      <c r="G9" s="51"/>
      <c r="H9" s="53">
        <f>IFERROR(__xludf.DUMMYFUNCTION("if(isblank(A9)=TRUE,0,if(M9=""GBX"",E9*G9/100,IF(M9=""EUR"",E9*G9/GOOGLEFINANCE(""CURRENCY:GBPEUR""),E9*G9/GOOGLEFINANCE(""CURRENCY:GBPUSD""))))"),0.0)</f>
        <v>0</v>
      </c>
      <c r="I9" s="54">
        <f>IFERROR(__xludf.DUMMYFUNCTION("if(isblank(A9)=TRUE,0,if(M9=""GBX"",D9*G9/100,IF(M9=""EUR"",D9*G9/GOOGLEFINANCE(""CURRENCY:GBPEUR""),D9*G9/GOOGLEFINANCE(""CURRENCY:GBPUSD""))))"),0.0)</f>
        <v>0</v>
      </c>
      <c r="J9" s="55">
        <f t="shared" si="1"/>
        <v>0</v>
      </c>
      <c r="K9" s="55" t="str">
        <f t="shared" si="2"/>
        <v>#DIV/0!</v>
      </c>
      <c r="L9" s="56" t="str">
        <f>IFERROR(__xludf.DUMMYFUNCTION("SPARKLINE(GoogleFinance(A9, ""price"", TODAY()-30, TODAY()),{""color"",""blue"";""linewidth"",2})        "),"#N/A")</f>
        <v>#N/A</v>
      </c>
      <c r="M9" s="17" t="str">
        <f>IFERROR(__xludf.DUMMYFUNCTION("GOOGLEFINANCE(A9,""currency"")"),"#N/A")</f>
        <v>#N/A</v>
      </c>
      <c r="N9" s="57" t="str">
        <f t="shared" si="3"/>
        <v>#N/A</v>
      </c>
      <c r="O9" s="58" t="str">
        <f>IFERROR(__xludf.DUMMYFUNCTION("GOOGLEFINANCE(A9,""Change"")"),"#N/A")</f>
        <v>#N/A</v>
      </c>
      <c r="P9" s="59" t="str">
        <f>IFERROR(__xludf.DUMMYFUNCTION("GOOGLEFINANCE(A9,""High"")"),"#N/A")</f>
        <v>#N/A</v>
      </c>
      <c r="Q9" s="59" t="str">
        <f>IFERROR(__xludf.DUMMYFUNCTION("GOOGLEFINANCE(A9,""low"")"),"#N/A")</f>
        <v>#N/A</v>
      </c>
      <c r="R9" s="57" t="str">
        <f>IFERROR(__xludf.DUMMYFUNCTION("abs(P9-Q9)/GOOGLEFINANCE(A9,""closeyest"")"),"#N/A")</f>
        <v>#N/A</v>
      </c>
      <c r="S9" s="60" t="str">
        <f t="shared" si="4"/>
        <v>#N/A</v>
      </c>
      <c r="T9" s="61"/>
      <c r="U9" s="62"/>
      <c r="V9" s="63"/>
      <c r="W9" s="64" t="str">
        <f t="shared" si="5"/>
        <v>DATA UNAVAILABLE</v>
      </c>
      <c r="X9" s="65" t="str">
        <f>IFERROR(__xludf.DUMMYFUNCTION("GOOGLEFINANCE($A9,X$3)"),"#N/A")</f>
        <v>#N/A</v>
      </c>
      <c r="Y9" s="65" t="str">
        <f>IFERROR(__xludf.DUMMYFUNCTION("GOOGLEFINANCE($A9,Y$3)"),"#N/A")</f>
        <v>#N/A</v>
      </c>
      <c r="Z9" s="65" t="str">
        <f>IFERROR(__xludf.DUMMYFUNCTION("GOOGLEFINANCE($A9,Z$3)"),"#N/A")</f>
        <v>#N/A</v>
      </c>
      <c r="AA9" s="65" t="str">
        <f>IFERROR(__xludf.DUMMYFUNCTION("GOOGLEFINANCE($A9,AA$3)"),"#N/A")</f>
        <v>#N/A</v>
      </c>
      <c r="AB9" s="65" t="str">
        <f>IFERROR(__xludf.DUMMYFUNCTION("GOOGLEFINANCE($A9,AB$3)"),"#N/A")</f>
        <v>#N/A</v>
      </c>
      <c r="AC9" s="65" t="str">
        <f>IFERROR(__xludf.DUMMYFUNCTION("GOOGLEFINANCE($A9,AC$3)"),"#N/A")</f>
        <v>#N/A</v>
      </c>
      <c r="AD9" s="65" t="str">
        <f>IFERROR(__xludf.DUMMYFUNCTION("GOOGLEFINANCE($A9,AD$3)"),"#N/A")</f>
        <v>#N/A</v>
      </c>
      <c r="AE9" s="65" t="str">
        <f>IFERROR(__xludf.DUMMYFUNCTION("GOOGLEFINANCE($A9,AE$3)"),"#N/A")</f>
        <v>#N/A</v>
      </c>
      <c r="AF9" s="17"/>
      <c r="AG9" s="17"/>
      <c r="AH9" s="17"/>
      <c r="AI9" s="17"/>
      <c r="AJ9" s="17"/>
      <c r="AK9" s="17"/>
    </row>
    <row r="10">
      <c r="A10" s="47"/>
      <c r="B10" s="48" t="str">
        <f>IFERROR(__xludf.DUMMYFUNCTION("GOOGLEFINANCE(A10,""name"")"),"#N/A")</f>
        <v>#N/A</v>
      </c>
      <c r="C10" s="270"/>
      <c r="D10" s="50" t="str">
        <f>IFERROR(__xludf.DUMMYFUNCTION("GOOGLEFINANCE(A10)"),"#N/A")</f>
        <v>#N/A</v>
      </c>
      <c r="E10" s="51"/>
      <c r="F10" s="52" t="str">
        <f>IFERROR(__xludf.DUMMYFUNCTION("IF(M10=""USD"",E10/GOOGLEFINANCE(""CURRENCY:GBPUSD""),E10)"),"#N/A")</f>
        <v>#N/A</v>
      </c>
      <c r="G10" s="51"/>
      <c r="H10" s="53">
        <f>IFERROR(__xludf.DUMMYFUNCTION("if(isblank(A10)=TRUE,0,if(M10=""GBX"",E10*G10/100,IF(M10=""EUR"",E10*G10/GOOGLEFINANCE(""CURRENCY:GBPEUR""),E10*G10/GOOGLEFINANCE(""CURRENCY:GBPUSD""))))"),0.0)</f>
        <v>0</v>
      </c>
      <c r="I10" s="54">
        <f>IFERROR(__xludf.DUMMYFUNCTION("if(isblank(A10)=TRUE,0,if(M10=""GBX"",D10*G10/100,IF(M10=""EUR"",D10*G10/GOOGLEFINANCE(""CURRENCY:GBPEUR""),D10*G10/GOOGLEFINANCE(""CURRENCY:GBPUSD""))))"),0.0)</f>
        <v>0</v>
      </c>
      <c r="J10" s="55">
        <f t="shared" si="1"/>
        <v>0</v>
      </c>
      <c r="K10" s="55" t="str">
        <f t="shared" si="2"/>
        <v>#DIV/0!</v>
      </c>
      <c r="L10" s="56" t="str">
        <f>IFERROR(__xludf.DUMMYFUNCTION("SPARKLINE(GoogleFinance(A10, ""price"", TODAY()-30, TODAY()),{""color"",""blue"";""linewidth"",2})        "),"#N/A")</f>
        <v>#N/A</v>
      </c>
      <c r="M10" s="17" t="str">
        <f>IFERROR(__xludf.DUMMYFUNCTION("GOOGLEFINANCE(A10,""currency"")"),"#N/A")</f>
        <v>#N/A</v>
      </c>
      <c r="N10" s="57" t="str">
        <f t="shared" si="3"/>
        <v>#N/A</v>
      </c>
      <c r="O10" s="58" t="str">
        <f>IFERROR(__xludf.DUMMYFUNCTION("GOOGLEFINANCE(A10,""Change"")"),"#N/A")</f>
        <v>#N/A</v>
      </c>
      <c r="P10" s="59" t="str">
        <f>IFERROR(__xludf.DUMMYFUNCTION("GOOGLEFINANCE(A10,""High"")"),"#N/A")</f>
        <v>#N/A</v>
      </c>
      <c r="Q10" s="59" t="str">
        <f>IFERROR(__xludf.DUMMYFUNCTION("GOOGLEFINANCE(A10,""low"")"),"#N/A")</f>
        <v>#N/A</v>
      </c>
      <c r="R10" s="57" t="str">
        <f>IFERROR(__xludf.DUMMYFUNCTION("abs(P10-Q10)/GOOGLEFINANCE(A10,""closeyest"")"),"#N/A")</f>
        <v>#N/A</v>
      </c>
      <c r="S10" s="60" t="str">
        <f t="shared" si="4"/>
        <v>#N/A</v>
      </c>
      <c r="T10" s="61"/>
      <c r="U10" s="61"/>
      <c r="V10" s="63"/>
      <c r="W10" s="64" t="str">
        <f t="shared" si="5"/>
        <v>DATA UNAVAILABLE</v>
      </c>
      <c r="X10" s="65" t="str">
        <f>IFERROR(__xludf.DUMMYFUNCTION("GOOGLEFINANCE($A10,X$3)"),"#N/A")</f>
        <v>#N/A</v>
      </c>
      <c r="Y10" s="65" t="str">
        <f>IFERROR(__xludf.DUMMYFUNCTION("GOOGLEFINANCE($A10,Y$3)"),"#N/A")</f>
        <v>#N/A</v>
      </c>
      <c r="Z10" s="65" t="str">
        <f>IFERROR(__xludf.DUMMYFUNCTION("GOOGLEFINANCE($A10,Z$3)"),"#N/A")</f>
        <v>#N/A</v>
      </c>
      <c r="AA10" s="65" t="str">
        <f>IFERROR(__xludf.DUMMYFUNCTION("GOOGLEFINANCE($A10,AA$3)"),"#N/A")</f>
        <v>#N/A</v>
      </c>
      <c r="AB10" s="65" t="str">
        <f>IFERROR(__xludf.DUMMYFUNCTION("GOOGLEFINANCE($A10,AB$3)"),"#N/A")</f>
        <v>#N/A</v>
      </c>
      <c r="AC10" s="65" t="str">
        <f>IFERROR(__xludf.DUMMYFUNCTION("GOOGLEFINANCE($A10,AC$3)"),"#N/A")</f>
        <v>#N/A</v>
      </c>
      <c r="AD10" s="65" t="str">
        <f>IFERROR(__xludf.DUMMYFUNCTION("GOOGLEFINANCE($A10,AD$3)"),"#N/A")</f>
        <v>#N/A</v>
      </c>
      <c r="AE10" s="65" t="str">
        <f>IFERROR(__xludf.DUMMYFUNCTION("GOOGLEFINANCE($A10,AE$3)"),"#N/A")</f>
        <v>#N/A</v>
      </c>
      <c r="AF10" s="17"/>
      <c r="AG10" s="17"/>
      <c r="AH10" s="17"/>
      <c r="AI10" s="17"/>
      <c r="AJ10" s="17"/>
      <c r="AK10" s="17"/>
    </row>
    <row r="11">
      <c r="A11" s="47"/>
      <c r="B11" s="48" t="str">
        <f>IFERROR(__xludf.DUMMYFUNCTION("GOOGLEFINANCE(A11,""name"")"),"#N/A")</f>
        <v>#N/A</v>
      </c>
      <c r="C11" s="270"/>
      <c r="D11" s="50" t="str">
        <f>IFERROR(__xludf.DUMMYFUNCTION("GOOGLEFINANCE(A11)"),"#N/A")</f>
        <v>#N/A</v>
      </c>
      <c r="E11" s="51"/>
      <c r="F11" s="52" t="str">
        <f>IFERROR(__xludf.DUMMYFUNCTION("IF(M11=""USD"",E11/GOOGLEFINANCE(""CURRENCY:GBPUSD""),E11)"),"#N/A")</f>
        <v>#N/A</v>
      </c>
      <c r="G11" s="51"/>
      <c r="H11" s="53">
        <f>IFERROR(__xludf.DUMMYFUNCTION("if(isblank(A11)=TRUE,0,if(M11=""GBX"",E11*G11/100,IF(M11=""EUR"",E11*G11/GOOGLEFINANCE(""CURRENCY:GBPEUR""),E11*G11/GOOGLEFINANCE(""CURRENCY:GBPUSD""))))"),0.0)</f>
        <v>0</v>
      </c>
      <c r="I11" s="54">
        <f>IFERROR(__xludf.DUMMYFUNCTION("if(isblank(A11)=TRUE,0,if(M11=""GBX"",D11*G11/100,IF(M11=""EUR"",D11*G11/GOOGLEFINANCE(""CURRENCY:GBPEUR""),D11*G11/GOOGLEFINANCE(""CURRENCY:GBPUSD""))))"),0.0)</f>
        <v>0</v>
      </c>
      <c r="J11" s="55">
        <f t="shared" si="1"/>
        <v>0</v>
      </c>
      <c r="K11" s="55" t="str">
        <f t="shared" si="2"/>
        <v>#DIV/0!</v>
      </c>
      <c r="L11" s="56" t="str">
        <f>IFERROR(__xludf.DUMMYFUNCTION("SPARKLINE(GoogleFinance(A11, ""price"", TODAY()-30, TODAY()),{""color"",""blue"";""linewidth"",2})        "),"#N/A")</f>
        <v>#N/A</v>
      </c>
      <c r="M11" s="17" t="str">
        <f>IFERROR(__xludf.DUMMYFUNCTION("GOOGLEFINANCE(A11,""currency"")"),"#N/A")</f>
        <v>#N/A</v>
      </c>
      <c r="N11" s="57" t="str">
        <f t="shared" si="3"/>
        <v>#N/A</v>
      </c>
      <c r="O11" s="58" t="str">
        <f>IFERROR(__xludf.DUMMYFUNCTION("GOOGLEFINANCE(A11,""Change"")"),"#N/A")</f>
        <v>#N/A</v>
      </c>
      <c r="P11" s="59" t="str">
        <f>IFERROR(__xludf.DUMMYFUNCTION("GOOGLEFINANCE(A11,""High"")"),"#N/A")</f>
        <v>#N/A</v>
      </c>
      <c r="Q11" s="59" t="str">
        <f>IFERROR(__xludf.DUMMYFUNCTION("GOOGLEFINANCE(A11,""low"")"),"#N/A")</f>
        <v>#N/A</v>
      </c>
      <c r="R11" s="57" t="str">
        <f>IFERROR(__xludf.DUMMYFUNCTION("abs(P11-Q11)/GOOGLEFINANCE(A11,""closeyest"")"),"#N/A")</f>
        <v>#N/A</v>
      </c>
      <c r="S11" s="60" t="str">
        <f t="shared" si="4"/>
        <v>#N/A</v>
      </c>
      <c r="T11" s="62"/>
      <c r="U11" s="62"/>
      <c r="V11" s="63"/>
      <c r="W11" s="64" t="str">
        <f t="shared" si="5"/>
        <v>DATA UNAVAILABLE</v>
      </c>
      <c r="X11" s="65" t="str">
        <f>IFERROR(__xludf.DUMMYFUNCTION("GOOGLEFINANCE($A11,X$3)"),"#N/A")</f>
        <v>#N/A</v>
      </c>
      <c r="Y11" s="65" t="str">
        <f>IFERROR(__xludf.DUMMYFUNCTION("GOOGLEFINANCE($A11,Y$3)"),"#N/A")</f>
        <v>#N/A</v>
      </c>
      <c r="Z11" s="65" t="str">
        <f>IFERROR(__xludf.DUMMYFUNCTION("GOOGLEFINANCE($A11,Z$3)"),"#N/A")</f>
        <v>#N/A</v>
      </c>
      <c r="AA11" s="65" t="str">
        <f>IFERROR(__xludf.DUMMYFUNCTION("GOOGLEFINANCE($A11,AA$3)"),"#N/A")</f>
        <v>#N/A</v>
      </c>
      <c r="AB11" s="65" t="str">
        <f>IFERROR(__xludf.DUMMYFUNCTION("GOOGLEFINANCE($A11,AB$3)"),"#N/A")</f>
        <v>#N/A</v>
      </c>
      <c r="AC11" s="65" t="str">
        <f>IFERROR(__xludf.DUMMYFUNCTION("GOOGLEFINANCE($A11,AC$3)"),"#N/A")</f>
        <v>#N/A</v>
      </c>
      <c r="AD11" s="65" t="str">
        <f>IFERROR(__xludf.DUMMYFUNCTION("GOOGLEFINANCE($A11,AD$3)"),"#N/A")</f>
        <v>#N/A</v>
      </c>
      <c r="AE11" s="65" t="str">
        <f>IFERROR(__xludf.DUMMYFUNCTION("GOOGLEFINANCE($A11,AE$3)"),"#N/A")</f>
        <v>#N/A</v>
      </c>
      <c r="AF11" s="17"/>
      <c r="AG11" s="17"/>
      <c r="AH11" s="17"/>
      <c r="AI11" s="17"/>
      <c r="AJ11" s="17"/>
      <c r="AK11" s="17"/>
    </row>
    <row r="12">
      <c r="A12" s="47"/>
      <c r="B12" s="48" t="str">
        <f>IFERROR(__xludf.DUMMYFUNCTION("GOOGLEFINANCE(A12,""name"")"),"#N/A")</f>
        <v>#N/A</v>
      </c>
      <c r="C12" s="270"/>
      <c r="D12" s="50" t="str">
        <f>IFERROR(__xludf.DUMMYFUNCTION("GOOGLEFINANCE(A12)"),"#N/A")</f>
        <v>#N/A</v>
      </c>
      <c r="E12" s="51"/>
      <c r="F12" s="52" t="str">
        <f>IFERROR(__xludf.DUMMYFUNCTION("IF(M12=""USD"",E12/GOOGLEFINANCE(""CURRENCY:GBPUSD""),E12)"),"#N/A")</f>
        <v>#N/A</v>
      </c>
      <c r="G12" s="51"/>
      <c r="H12" s="53">
        <f>IFERROR(__xludf.DUMMYFUNCTION("if(isblank(A12)=TRUE,0,if(M12=""GBX"",E12*G12/100,IF(M12=""EUR"",E12*G12/GOOGLEFINANCE(""CURRENCY:GBPEUR""),E12*G12/GOOGLEFINANCE(""CURRENCY:GBPUSD""))))"),0.0)</f>
        <v>0</v>
      </c>
      <c r="I12" s="54">
        <f>IFERROR(__xludf.DUMMYFUNCTION("if(isblank(A12)=TRUE,0,if(M12=""GBX"",D12*G12/100,IF(M12=""EUR"",D12*G12/GOOGLEFINANCE(""CURRENCY:GBPEUR""),D12*G12/GOOGLEFINANCE(""CURRENCY:GBPUSD""))))"),0.0)</f>
        <v>0</v>
      </c>
      <c r="J12" s="55">
        <f t="shared" si="1"/>
        <v>0</v>
      </c>
      <c r="K12" s="55" t="str">
        <f t="shared" si="2"/>
        <v>#DIV/0!</v>
      </c>
      <c r="L12" s="56" t="str">
        <f>IFERROR(__xludf.DUMMYFUNCTION("SPARKLINE(GoogleFinance(A12, ""price"", TODAY()-30, TODAY()),{""color"",""blue"";""linewidth"",2})        "),"#N/A")</f>
        <v>#N/A</v>
      </c>
      <c r="M12" s="17" t="str">
        <f>IFERROR(__xludf.DUMMYFUNCTION("GOOGLEFINANCE(A12,""currency"")"),"#N/A")</f>
        <v>#N/A</v>
      </c>
      <c r="N12" s="57" t="str">
        <f t="shared" si="3"/>
        <v>#N/A</v>
      </c>
      <c r="O12" s="58" t="str">
        <f>IFERROR(__xludf.DUMMYFUNCTION("GOOGLEFINANCE(A12,""Change"")"),"#N/A")</f>
        <v>#N/A</v>
      </c>
      <c r="P12" s="59" t="str">
        <f>IFERROR(__xludf.DUMMYFUNCTION("GOOGLEFINANCE(A12,""High"")"),"#N/A")</f>
        <v>#N/A</v>
      </c>
      <c r="Q12" s="59" t="str">
        <f>IFERROR(__xludf.DUMMYFUNCTION("GOOGLEFINANCE(A12,""low"")"),"#N/A")</f>
        <v>#N/A</v>
      </c>
      <c r="R12" s="57" t="str">
        <f>IFERROR(__xludf.DUMMYFUNCTION("abs(P12-Q12)/GOOGLEFINANCE(A12,""closeyest"")"),"#N/A")</f>
        <v>#N/A</v>
      </c>
      <c r="S12" s="60" t="str">
        <f t="shared" si="4"/>
        <v>#N/A</v>
      </c>
      <c r="T12" s="61"/>
      <c r="U12" s="62"/>
      <c r="V12" s="63"/>
      <c r="W12" s="64" t="str">
        <f t="shared" si="5"/>
        <v>DATA UNAVAILABLE</v>
      </c>
      <c r="X12" s="65" t="str">
        <f>IFERROR(__xludf.DUMMYFUNCTION("GOOGLEFINANCE($A12,X$3)"),"#N/A")</f>
        <v>#N/A</v>
      </c>
      <c r="Y12" s="65" t="str">
        <f>IFERROR(__xludf.DUMMYFUNCTION("GOOGLEFINANCE($A12,Y$3)"),"#N/A")</f>
        <v>#N/A</v>
      </c>
      <c r="Z12" s="65" t="str">
        <f>IFERROR(__xludf.DUMMYFUNCTION("GOOGLEFINANCE($A12,Z$3)"),"#N/A")</f>
        <v>#N/A</v>
      </c>
      <c r="AA12" s="65" t="str">
        <f>IFERROR(__xludf.DUMMYFUNCTION("GOOGLEFINANCE($A12,AA$3)"),"#N/A")</f>
        <v>#N/A</v>
      </c>
      <c r="AB12" s="65" t="str">
        <f>IFERROR(__xludf.DUMMYFUNCTION("GOOGLEFINANCE($A12,AB$3)"),"#N/A")</f>
        <v>#N/A</v>
      </c>
      <c r="AC12" s="65" t="str">
        <f>IFERROR(__xludf.DUMMYFUNCTION("GOOGLEFINANCE($A12,AC$3)"),"#N/A")</f>
        <v>#N/A</v>
      </c>
      <c r="AD12" s="65" t="str">
        <f>IFERROR(__xludf.DUMMYFUNCTION("GOOGLEFINANCE($A12,AD$3)"),"#N/A")</f>
        <v>#N/A</v>
      </c>
      <c r="AE12" s="65" t="str">
        <f>IFERROR(__xludf.DUMMYFUNCTION("GOOGLEFINANCE($A12,AE$3)"),"#N/A")</f>
        <v>#N/A</v>
      </c>
      <c r="AF12" s="17"/>
      <c r="AG12" s="17"/>
      <c r="AH12" s="17"/>
      <c r="AI12" s="17"/>
      <c r="AJ12" s="17"/>
      <c r="AK12" s="17"/>
    </row>
    <row r="13">
      <c r="A13" s="47"/>
      <c r="B13" s="48" t="str">
        <f>IFERROR(__xludf.DUMMYFUNCTION("GOOGLEFINANCE(A13,""name"")"),"#N/A")</f>
        <v>#N/A</v>
      </c>
      <c r="C13" s="270"/>
      <c r="D13" s="50" t="str">
        <f>IFERROR(__xludf.DUMMYFUNCTION("GOOGLEFINANCE(A13)"),"#N/A")</f>
        <v>#N/A</v>
      </c>
      <c r="E13" s="51"/>
      <c r="F13" s="52" t="str">
        <f>IFERROR(__xludf.DUMMYFUNCTION("IF(M13=""USD"",E13/GOOGLEFINANCE(""CURRENCY:GBPUSD""),E13)"),"#N/A")</f>
        <v>#N/A</v>
      </c>
      <c r="G13" s="51"/>
      <c r="H13" s="53">
        <f>IFERROR(__xludf.DUMMYFUNCTION("if(isblank(A13)=TRUE,0,if(M13=""GBX"",E13*G13/100,IF(M13=""EUR"",E13*G13/GOOGLEFINANCE(""CURRENCY:GBPEUR""),E13*G13/GOOGLEFINANCE(""CURRENCY:GBPUSD""))))"),0.0)</f>
        <v>0</v>
      </c>
      <c r="I13" s="54">
        <f>IFERROR(__xludf.DUMMYFUNCTION("if(isblank(A13)=TRUE,0,if(M13=""GBX"",D13*G13/100,IF(M13=""EUR"",D13*G13/GOOGLEFINANCE(""CURRENCY:GBPEUR""),D13*G13/GOOGLEFINANCE(""CURRENCY:GBPUSD""))))"),0.0)</f>
        <v>0</v>
      </c>
      <c r="J13" s="55">
        <f t="shared" si="1"/>
        <v>0</v>
      </c>
      <c r="K13" s="55" t="str">
        <f t="shared" si="2"/>
        <v>#DIV/0!</v>
      </c>
      <c r="L13" s="56" t="str">
        <f>IFERROR(__xludf.DUMMYFUNCTION("SPARKLINE(GoogleFinance(A13, ""price"", TODAY()-30, TODAY()),{""color"",""blue"";""linewidth"",2})        "),"#N/A")</f>
        <v>#N/A</v>
      </c>
      <c r="M13" s="17" t="str">
        <f>IFERROR(__xludf.DUMMYFUNCTION("GOOGLEFINANCE(A13,""currency"")"),"#N/A")</f>
        <v>#N/A</v>
      </c>
      <c r="N13" s="57" t="str">
        <f t="shared" si="3"/>
        <v>#N/A</v>
      </c>
      <c r="O13" s="58" t="str">
        <f>IFERROR(__xludf.DUMMYFUNCTION("GOOGLEFINANCE(A13,""Change"")"),"#N/A")</f>
        <v>#N/A</v>
      </c>
      <c r="P13" s="59" t="str">
        <f>IFERROR(__xludf.DUMMYFUNCTION("GOOGLEFINANCE(A13,""High"")"),"#N/A")</f>
        <v>#N/A</v>
      </c>
      <c r="Q13" s="59" t="str">
        <f>IFERROR(__xludf.DUMMYFUNCTION("GOOGLEFINANCE(A13,""low"")"),"#N/A")</f>
        <v>#N/A</v>
      </c>
      <c r="R13" s="57" t="str">
        <f>IFERROR(__xludf.DUMMYFUNCTION("abs(P13-Q13)/GOOGLEFINANCE(A13,""closeyest"")"),"#N/A")</f>
        <v>#N/A</v>
      </c>
      <c r="S13" s="60" t="str">
        <f t="shared" si="4"/>
        <v>#N/A</v>
      </c>
      <c r="T13" s="62"/>
      <c r="U13" s="62"/>
      <c r="V13" s="63"/>
      <c r="W13" s="64" t="str">
        <f t="shared" si="5"/>
        <v>DATA UNAVAILABLE</v>
      </c>
      <c r="X13" s="65" t="str">
        <f>IFERROR(__xludf.DUMMYFUNCTION("GOOGLEFINANCE($A13,X$3)"),"#N/A")</f>
        <v>#N/A</v>
      </c>
      <c r="Y13" s="65" t="str">
        <f>IFERROR(__xludf.DUMMYFUNCTION("GOOGLEFINANCE($A13,Y$3)"),"#N/A")</f>
        <v>#N/A</v>
      </c>
      <c r="Z13" s="65" t="str">
        <f>IFERROR(__xludf.DUMMYFUNCTION("GOOGLEFINANCE($A13,Z$3)"),"#N/A")</f>
        <v>#N/A</v>
      </c>
      <c r="AA13" s="65" t="str">
        <f>IFERROR(__xludf.DUMMYFUNCTION("GOOGLEFINANCE($A13,AA$3)"),"#N/A")</f>
        <v>#N/A</v>
      </c>
      <c r="AB13" s="65" t="str">
        <f>IFERROR(__xludf.DUMMYFUNCTION("GOOGLEFINANCE($A13,AB$3)"),"#N/A")</f>
        <v>#N/A</v>
      </c>
      <c r="AC13" s="65" t="str">
        <f>IFERROR(__xludf.DUMMYFUNCTION("GOOGLEFINANCE($A13,AC$3)"),"#N/A")</f>
        <v>#N/A</v>
      </c>
      <c r="AD13" s="65" t="str">
        <f>IFERROR(__xludf.DUMMYFUNCTION("GOOGLEFINANCE($A13,AD$3)"),"#N/A")</f>
        <v>#N/A</v>
      </c>
      <c r="AE13" s="65" t="str">
        <f>IFERROR(__xludf.DUMMYFUNCTION("GOOGLEFINANCE($A13,AE$3)"),"#N/A")</f>
        <v>#N/A</v>
      </c>
      <c r="AF13" s="17"/>
      <c r="AG13" s="17"/>
      <c r="AH13" s="17"/>
      <c r="AI13" s="17"/>
      <c r="AJ13" s="17"/>
      <c r="AK13" s="17"/>
    </row>
    <row r="14">
      <c r="A14" s="47"/>
      <c r="B14" s="48" t="str">
        <f>IFERROR(__xludf.DUMMYFUNCTION("GOOGLEFINANCE(A14,""name"")"),"#N/A")</f>
        <v>#N/A</v>
      </c>
      <c r="C14" s="270"/>
      <c r="D14" s="50" t="str">
        <f>IFERROR(__xludf.DUMMYFUNCTION("GOOGLEFINANCE(A14)"),"#N/A")</f>
        <v>#N/A</v>
      </c>
      <c r="E14" s="51"/>
      <c r="F14" s="52" t="str">
        <f>IFERROR(__xludf.DUMMYFUNCTION("IF(M14=""USD"",E14/GOOGLEFINANCE(""CURRENCY:GBPUSD""),E14)"),"#N/A")</f>
        <v>#N/A</v>
      </c>
      <c r="G14" s="51"/>
      <c r="H14" s="53">
        <f>IFERROR(__xludf.DUMMYFUNCTION("if(isblank(A14)=TRUE,0,if(M14=""GBX"",E14*G14/100,IF(M14=""EUR"",E14*G14/GOOGLEFINANCE(""CURRENCY:GBPEUR""),E14*G14/GOOGLEFINANCE(""CURRENCY:GBPUSD""))))"),0.0)</f>
        <v>0</v>
      </c>
      <c r="I14" s="54">
        <f>IFERROR(__xludf.DUMMYFUNCTION("if(isblank(A14)=TRUE,0,if(M14=""GBX"",D14*G14/100,IF(M14=""EUR"",D14*G14/GOOGLEFINANCE(""CURRENCY:GBPEUR""),D14*G14/GOOGLEFINANCE(""CURRENCY:GBPUSD""))))"),0.0)</f>
        <v>0</v>
      </c>
      <c r="J14" s="55">
        <f t="shared" si="1"/>
        <v>0</v>
      </c>
      <c r="K14" s="55" t="str">
        <f t="shared" si="2"/>
        <v>#DIV/0!</v>
      </c>
      <c r="L14" s="56" t="str">
        <f>IFERROR(__xludf.DUMMYFUNCTION("SPARKLINE(GoogleFinance(A14, ""price"", TODAY()-30, TODAY()),{""color"",""blue"";""linewidth"",2})        "),"#N/A")</f>
        <v>#N/A</v>
      </c>
      <c r="M14" s="17" t="str">
        <f>IFERROR(__xludf.DUMMYFUNCTION("GOOGLEFINANCE(A14,""currency"")"),"#N/A")</f>
        <v>#N/A</v>
      </c>
      <c r="N14" s="57" t="str">
        <f t="shared" si="3"/>
        <v>#N/A</v>
      </c>
      <c r="O14" s="58" t="str">
        <f>IFERROR(__xludf.DUMMYFUNCTION("GOOGLEFINANCE(A14,""Change"")"),"#N/A")</f>
        <v>#N/A</v>
      </c>
      <c r="P14" s="59" t="str">
        <f>IFERROR(__xludf.DUMMYFUNCTION("GOOGLEFINANCE(A14,""High"")"),"#N/A")</f>
        <v>#N/A</v>
      </c>
      <c r="Q14" s="59" t="str">
        <f>IFERROR(__xludf.DUMMYFUNCTION("GOOGLEFINANCE(A14,""low"")"),"#N/A")</f>
        <v>#N/A</v>
      </c>
      <c r="R14" s="57" t="str">
        <f>IFERROR(__xludf.DUMMYFUNCTION("abs(P14-Q14)/GOOGLEFINANCE(A14,""closeyest"")"),"#N/A")</f>
        <v>#N/A</v>
      </c>
      <c r="S14" s="60" t="str">
        <f t="shared" si="4"/>
        <v>#N/A</v>
      </c>
      <c r="T14" s="62"/>
      <c r="U14" s="62"/>
      <c r="V14" s="63"/>
      <c r="W14" s="64" t="str">
        <f t="shared" si="5"/>
        <v>DATA UNAVAILABLE</v>
      </c>
      <c r="X14" s="65" t="str">
        <f>IFERROR(__xludf.DUMMYFUNCTION("GOOGLEFINANCE($A14,X$3)"),"#N/A")</f>
        <v>#N/A</v>
      </c>
      <c r="Y14" s="65" t="str">
        <f>IFERROR(__xludf.DUMMYFUNCTION("GOOGLEFINANCE($A14,Y$3)"),"#N/A")</f>
        <v>#N/A</v>
      </c>
      <c r="Z14" s="65" t="str">
        <f>IFERROR(__xludf.DUMMYFUNCTION("GOOGLEFINANCE($A14,Z$3)"),"#N/A")</f>
        <v>#N/A</v>
      </c>
      <c r="AA14" s="65" t="str">
        <f>IFERROR(__xludf.DUMMYFUNCTION("GOOGLEFINANCE($A14,AA$3)"),"#N/A")</f>
        <v>#N/A</v>
      </c>
      <c r="AB14" s="65" t="str">
        <f>IFERROR(__xludf.DUMMYFUNCTION("GOOGLEFINANCE($A14,AB$3)"),"#N/A")</f>
        <v>#N/A</v>
      </c>
      <c r="AC14" s="65" t="str">
        <f>IFERROR(__xludf.DUMMYFUNCTION("GOOGLEFINANCE($A14,AC$3)"),"#N/A")</f>
        <v>#N/A</v>
      </c>
      <c r="AD14" s="65" t="str">
        <f>IFERROR(__xludf.DUMMYFUNCTION("GOOGLEFINANCE($A14,AD$3)"),"#N/A")</f>
        <v>#N/A</v>
      </c>
      <c r="AE14" s="65" t="str">
        <f>IFERROR(__xludf.DUMMYFUNCTION("GOOGLEFINANCE($A14,AE$3)"),"#N/A")</f>
        <v>#N/A</v>
      </c>
      <c r="AF14" s="17"/>
      <c r="AG14" s="17"/>
      <c r="AH14" s="17"/>
      <c r="AI14" s="17"/>
      <c r="AJ14" s="17"/>
      <c r="AK14" s="17"/>
    </row>
    <row r="15">
      <c r="A15" s="47"/>
      <c r="B15" s="48" t="str">
        <f>IFERROR(__xludf.DUMMYFUNCTION("GOOGLEFINANCE(A15,""name"")"),"#N/A")</f>
        <v>#N/A</v>
      </c>
      <c r="C15" s="270"/>
      <c r="D15" s="50" t="str">
        <f>IFERROR(__xludf.DUMMYFUNCTION("GOOGLEFINANCE(A15)"),"#N/A")</f>
        <v>#N/A</v>
      </c>
      <c r="E15" s="51"/>
      <c r="F15" s="52" t="str">
        <f>IFERROR(__xludf.DUMMYFUNCTION("IF(M15=""USD"",E15/GOOGLEFINANCE(""CURRENCY:GBPUSD""),E15)"),"#N/A")</f>
        <v>#N/A</v>
      </c>
      <c r="G15" s="51"/>
      <c r="H15" s="53">
        <f>IFERROR(__xludf.DUMMYFUNCTION("if(isblank(A15)=TRUE,0,if(M15=""GBX"",E15*G15/100,IF(M15=""EUR"",E15*G15/GOOGLEFINANCE(""CURRENCY:GBPEUR""),E15*G15/GOOGLEFINANCE(""CURRENCY:GBPUSD""))))"),0.0)</f>
        <v>0</v>
      </c>
      <c r="I15" s="54">
        <f>IFERROR(__xludf.DUMMYFUNCTION("if(isblank(A15)=TRUE,0,if(M15=""GBX"",D15*G15/100,IF(M15=""EUR"",D15*G15/GOOGLEFINANCE(""CURRENCY:GBPEUR""),D15*G15/GOOGLEFINANCE(""CURRENCY:GBPUSD""))))"),0.0)</f>
        <v>0</v>
      </c>
      <c r="J15" s="55">
        <f t="shared" si="1"/>
        <v>0</v>
      </c>
      <c r="K15" s="55" t="str">
        <f t="shared" si="2"/>
        <v>#DIV/0!</v>
      </c>
      <c r="L15" s="56" t="str">
        <f>IFERROR(__xludf.DUMMYFUNCTION("SPARKLINE(GoogleFinance(A15, ""price"", TODAY()-30, TODAY()),{""color"",""blue"";""linewidth"",2})        "),"#N/A")</f>
        <v>#N/A</v>
      </c>
      <c r="M15" s="17" t="str">
        <f>IFERROR(__xludf.DUMMYFUNCTION("GOOGLEFINANCE(A15,""currency"")"),"#N/A")</f>
        <v>#N/A</v>
      </c>
      <c r="N15" s="57" t="str">
        <f t="shared" si="3"/>
        <v>#N/A</v>
      </c>
      <c r="O15" s="58" t="str">
        <f>IFERROR(__xludf.DUMMYFUNCTION("GOOGLEFINANCE(A15,""Change"")"),"#N/A")</f>
        <v>#N/A</v>
      </c>
      <c r="P15" s="59" t="str">
        <f>IFERROR(__xludf.DUMMYFUNCTION("GOOGLEFINANCE(A15,""High"")"),"#N/A")</f>
        <v>#N/A</v>
      </c>
      <c r="Q15" s="59" t="str">
        <f>IFERROR(__xludf.DUMMYFUNCTION("GOOGLEFINANCE(A15,""low"")"),"#N/A")</f>
        <v>#N/A</v>
      </c>
      <c r="R15" s="57" t="str">
        <f>IFERROR(__xludf.DUMMYFUNCTION("abs(P15-Q15)/GOOGLEFINANCE(A15,""closeyest"")"),"#N/A")</f>
        <v>#N/A</v>
      </c>
      <c r="S15" s="60" t="str">
        <f t="shared" si="4"/>
        <v>#N/A</v>
      </c>
      <c r="T15" s="62"/>
      <c r="U15" s="62"/>
      <c r="V15" s="63"/>
      <c r="W15" s="64" t="str">
        <f t="shared" si="5"/>
        <v>DATA UNAVAILABLE</v>
      </c>
      <c r="X15" s="65" t="str">
        <f>IFERROR(__xludf.DUMMYFUNCTION("GOOGLEFINANCE($A15,X$3)"),"#N/A")</f>
        <v>#N/A</v>
      </c>
      <c r="Y15" s="65" t="str">
        <f>IFERROR(__xludf.DUMMYFUNCTION("GOOGLEFINANCE($A15,Y$3)"),"#N/A")</f>
        <v>#N/A</v>
      </c>
      <c r="Z15" s="65" t="str">
        <f>IFERROR(__xludf.DUMMYFUNCTION("GOOGLEFINANCE($A15,Z$3)"),"#N/A")</f>
        <v>#N/A</v>
      </c>
      <c r="AA15" s="65" t="str">
        <f>IFERROR(__xludf.DUMMYFUNCTION("GOOGLEFINANCE($A15,AA$3)"),"#N/A")</f>
        <v>#N/A</v>
      </c>
      <c r="AB15" s="65" t="str">
        <f>IFERROR(__xludf.DUMMYFUNCTION("GOOGLEFINANCE($A15,AB$3)"),"#N/A")</f>
        <v>#N/A</v>
      </c>
      <c r="AC15" s="65" t="str">
        <f>IFERROR(__xludf.DUMMYFUNCTION("GOOGLEFINANCE($A15,AC$3)"),"#N/A")</f>
        <v>#N/A</v>
      </c>
      <c r="AD15" s="65" t="str">
        <f>IFERROR(__xludf.DUMMYFUNCTION("GOOGLEFINANCE($A15,AD$3)"),"#N/A")</f>
        <v>#N/A</v>
      </c>
      <c r="AE15" s="65" t="str">
        <f>IFERROR(__xludf.DUMMYFUNCTION("GOOGLEFINANCE($A15,AE$3)"),"#N/A")</f>
        <v>#N/A</v>
      </c>
      <c r="AF15" s="17"/>
      <c r="AG15" s="17"/>
      <c r="AH15" s="17"/>
      <c r="AI15" s="17"/>
      <c r="AJ15" s="17"/>
      <c r="AK15" s="17"/>
    </row>
    <row r="16">
      <c r="A16" s="47"/>
      <c r="B16" s="48" t="str">
        <f>IFERROR(__xludf.DUMMYFUNCTION("GOOGLEFINANCE(A16,""name"")"),"#N/A")</f>
        <v>#N/A</v>
      </c>
      <c r="C16" s="270"/>
      <c r="D16" s="50" t="str">
        <f>IFERROR(__xludf.DUMMYFUNCTION("GOOGLEFINANCE(A16)"),"#N/A")</f>
        <v>#N/A</v>
      </c>
      <c r="E16" s="51"/>
      <c r="F16" s="52" t="str">
        <f>IFERROR(__xludf.DUMMYFUNCTION("IF(M16=""USD"",E16/GOOGLEFINANCE(""CURRENCY:GBPUSD""),E16)"),"#N/A")</f>
        <v>#N/A</v>
      </c>
      <c r="G16" s="51"/>
      <c r="H16" s="53">
        <f>IFERROR(__xludf.DUMMYFUNCTION("if(isblank(A16)=TRUE,0,if(M16=""GBX"",E16*G16/100,IF(M16=""EUR"",E16*G16/GOOGLEFINANCE(""CURRENCY:GBPEUR""),E16*G16/GOOGLEFINANCE(""CURRENCY:GBPUSD""))))"),0.0)</f>
        <v>0</v>
      </c>
      <c r="I16" s="54">
        <f>IFERROR(__xludf.DUMMYFUNCTION("if(isblank(A16)=TRUE,0,if(M16=""GBX"",D16*G16/100,IF(M16=""EUR"",D16*G16/GOOGLEFINANCE(""CURRENCY:GBPEUR""),D16*G16/GOOGLEFINANCE(""CURRENCY:GBPUSD""))))"),0.0)</f>
        <v>0</v>
      </c>
      <c r="J16" s="55">
        <f t="shared" si="1"/>
        <v>0</v>
      </c>
      <c r="K16" s="55" t="str">
        <f t="shared" si="2"/>
        <v>#DIV/0!</v>
      </c>
      <c r="L16" s="56" t="str">
        <f>IFERROR(__xludf.DUMMYFUNCTION("SPARKLINE(GoogleFinance(A16, ""price"", TODAY()-30, TODAY()),{""color"",""blue"";""linewidth"",2})        "),"#N/A")</f>
        <v>#N/A</v>
      </c>
      <c r="M16" s="17" t="str">
        <f>IFERROR(__xludf.DUMMYFUNCTION("GOOGLEFINANCE(A16,""currency"")"),"#N/A")</f>
        <v>#N/A</v>
      </c>
      <c r="N16" s="57" t="str">
        <f t="shared" si="3"/>
        <v>#N/A</v>
      </c>
      <c r="O16" s="58" t="str">
        <f>IFERROR(__xludf.DUMMYFUNCTION("GOOGLEFINANCE(A16,""Change"")"),"#N/A")</f>
        <v>#N/A</v>
      </c>
      <c r="P16" s="59" t="str">
        <f>IFERROR(__xludf.DUMMYFUNCTION("GOOGLEFINANCE(A16,""High"")"),"#N/A")</f>
        <v>#N/A</v>
      </c>
      <c r="Q16" s="59" t="str">
        <f>IFERROR(__xludf.DUMMYFUNCTION("GOOGLEFINANCE(A16,""low"")"),"#N/A")</f>
        <v>#N/A</v>
      </c>
      <c r="R16" s="57" t="str">
        <f>IFERROR(__xludf.DUMMYFUNCTION("abs(P16-Q16)/GOOGLEFINANCE(A16,""closeyest"")"),"#N/A")</f>
        <v>#N/A</v>
      </c>
      <c r="S16" s="60" t="str">
        <f t="shared" si="4"/>
        <v>#N/A</v>
      </c>
      <c r="T16" s="62"/>
      <c r="U16" s="62"/>
      <c r="V16" s="63"/>
      <c r="W16" s="64" t="str">
        <f t="shared" si="5"/>
        <v>DATA UNAVAILABLE</v>
      </c>
      <c r="X16" s="65" t="str">
        <f>IFERROR(__xludf.DUMMYFUNCTION("GOOGLEFINANCE($A16,X$3)"),"#N/A")</f>
        <v>#N/A</v>
      </c>
      <c r="Y16" s="65" t="str">
        <f>IFERROR(__xludf.DUMMYFUNCTION("GOOGLEFINANCE($A16,Y$3)"),"#N/A")</f>
        <v>#N/A</v>
      </c>
      <c r="Z16" s="65" t="str">
        <f>IFERROR(__xludf.DUMMYFUNCTION("GOOGLEFINANCE($A16,Z$3)"),"#N/A")</f>
        <v>#N/A</v>
      </c>
      <c r="AA16" s="65" t="str">
        <f>IFERROR(__xludf.DUMMYFUNCTION("GOOGLEFINANCE($A16,AA$3)"),"#N/A")</f>
        <v>#N/A</v>
      </c>
      <c r="AB16" s="65" t="str">
        <f>IFERROR(__xludf.DUMMYFUNCTION("GOOGLEFINANCE($A16,AB$3)"),"#N/A")</f>
        <v>#N/A</v>
      </c>
      <c r="AC16" s="65" t="str">
        <f>IFERROR(__xludf.DUMMYFUNCTION("GOOGLEFINANCE($A16,AC$3)"),"#N/A")</f>
        <v>#N/A</v>
      </c>
      <c r="AD16" s="65" t="str">
        <f>IFERROR(__xludf.DUMMYFUNCTION("GOOGLEFINANCE($A16,AD$3)"),"#N/A")</f>
        <v>#N/A</v>
      </c>
      <c r="AE16" s="65" t="str">
        <f>IFERROR(__xludf.DUMMYFUNCTION("GOOGLEFINANCE($A16,AE$3)"),"#N/A")</f>
        <v>#N/A</v>
      </c>
      <c r="AF16" s="17"/>
      <c r="AG16" s="17"/>
      <c r="AH16" s="17"/>
      <c r="AI16" s="17"/>
      <c r="AJ16" s="17"/>
      <c r="AK16" s="17"/>
    </row>
    <row r="17">
      <c r="A17" s="47"/>
      <c r="B17" s="48" t="str">
        <f>IFERROR(__xludf.DUMMYFUNCTION("GOOGLEFINANCE(A17,""name"")"),"#N/A")</f>
        <v>#N/A</v>
      </c>
      <c r="C17" s="270"/>
      <c r="D17" s="50" t="str">
        <f>IFERROR(__xludf.DUMMYFUNCTION("GOOGLEFINANCE(A17)"),"#N/A")</f>
        <v>#N/A</v>
      </c>
      <c r="E17" s="51"/>
      <c r="F17" s="52" t="str">
        <f>IFERROR(__xludf.DUMMYFUNCTION("IF(M17=""USD"",E17/GOOGLEFINANCE(""CURRENCY:GBPUSD""),E17)"),"#N/A")</f>
        <v>#N/A</v>
      </c>
      <c r="G17" s="51"/>
      <c r="H17" s="53">
        <f>IFERROR(__xludf.DUMMYFUNCTION("if(isblank(A17)=TRUE,0,if(M17=""GBX"",E17*G17/100,IF(M17=""EUR"",E17*G17/GOOGLEFINANCE(""CURRENCY:GBPEUR""),E17*G17/GOOGLEFINANCE(""CURRENCY:GBPUSD""))))"),0.0)</f>
        <v>0</v>
      </c>
      <c r="I17" s="54">
        <f>IFERROR(__xludf.DUMMYFUNCTION("if(isblank(A17)=TRUE,0,if(M17=""GBX"",D17*G17/100,IF(M17=""EUR"",D17*G17/GOOGLEFINANCE(""CURRENCY:GBPEUR""),D17*G17/GOOGLEFINANCE(""CURRENCY:GBPUSD""))))"),0.0)</f>
        <v>0</v>
      </c>
      <c r="J17" s="55">
        <f t="shared" si="1"/>
        <v>0</v>
      </c>
      <c r="K17" s="55" t="str">
        <f t="shared" si="2"/>
        <v>#DIV/0!</v>
      </c>
      <c r="L17" s="56" t="str">
        <f>IFERROR(__xludf.DUMMYFUNCTION("SPARKLINE(GoogleFinance(A17, ""price"", TODAY()-30, TODAY()),{""color"",""blue"";""linewidth"",2})        "),"#N/A")</f>
        <v>#N/A</v>
      </c>
      <c r="M17" s="17" t="str">
        <f>IFERROR(__xludf.DUMMYFUNCTION("GOOGLEFINANCE(A17,""currency"")"),"#N/A")</f>
        <v>#N/A</v>
      </c>
      <c r="N17" s="57" t="str">
        <f t="shared" si="3"/>
        <v>#N/A</v>
      </c>
      <c r="O17" s="58" t="str">
        <f>IFERROR(__xludf.DUMMYFUNCTION("GOOGLEFINANCE(A17,""Change"")"),"#N/A")</f>
        <v>#N/A</v>
      </c>
      <c r="P17" s="59" t="str">
        <f>IFERROR(__xludf.DUMMYFUNCTION("GOOGLEFINANCE(A17,""High"")"),"#N/A")</f>
        <v>#N/A</v>
      </c>
      <c r="Q17" s="59" t="str">
        <f>IFERROR(__xludf.DUMMYFUNCTION("GOOGLEFINANCE(A17,""low"")"),"#N/A")</f>
        <v>#N/A</v>
      </c>
      <c r="R17" s="57" t="str">
        <f>IFERROR(__xludf.DUMMYFUNCTION("abs(P17-Q17)/GOOGLEFINANCE(A17,""closeyest"")"),"#N/A")</f>
        <v>#N/A</v>
      </c>
      <c r="S17" s="60" t="str">
        <f t="shared" si="4"/>
        <v>#N/A</v>
      </c>
      <c r="T17" s="62"/>
      <c r="U17" s="62"/>
      <c r="V17" s="63"/>
      <c r="W17" s="64" t="str">
        <f t="shared" si="5"/>
        <v>DATA UNAVAILABLE</v>
      </c>
      <c r="X17" s="65" t="str">
        <f>IFERROR(__xludf.DUMMYFUNCTION("GOOGLEFINANCE($A17,X$3)"),"#N/A")</f>
        <v>#N/A</v>
      </c>
      <c r="Y17" s="65" t="str">
        <f>IFERROR(__xludf.DUMMYFUNCTION("GOOGLEFINANCE($A17,Y$3)"),"#N/A")</f>
        <v>#N/A</v>
      </c>
      <c r="Z17" s="65" t="str">
        <f>IFERROR(__xludf.DUMMYFUNCTION("GOOGLEFINANCE($A17,Z$3)"),"#N/A")</f>
        <v>#N/A</v>
      </c>
      <c r="AA17" s="65" t="str">
        <f>IFERROR(__xludf.DUMMYFUNCTION("GOOGLEFINANCE($A17,AA$3)"),"#N/A")</f>
        <v>#N/A</v>
      </c>
      <c r="AB17" s="65" t="str">
        <f>IFERROR(__xludf.DUMMYFUNCTION("GOOGLEFINANCE($A17,AB$3)"),"#N/A")</f>
        <v>#N/A</v>
      </c>
      <c r="AC17" s="65" t="str">
        <f>IFERROR(__xludf.DUMMYFUNCTION("GOOGLEFINANCE($A17,AC$3)"),"#N/A")</f>
        <v>#N/A</v>
      </c>
      <c r="AD17" s="65" t="str">
        <f>IFERROR(__xludf.DUMMYFUNCTION("GOOGLEFINANCE($A17,AD$3)"),"#N/A")</f>
        <v>#N/A</v>
      </c>
      <c r="AE17" s="65" t="str">
        <f>IFERROR(__xludf.DUMMYFUNCTION("GOOGLEFINANCE($A17,AE$3)"),"#N/A")</f>
        <v>#N/A</v>
      </c>
      <c r="AF17" s="17"/>
      <c r="AG17" s="17"/>
      <c r="AH17" s="17"/>
      <c r="AI17" s="17"/>
      <c r="AJ17" s="17"/>
      <c r="AK17" s="17"/>
    </row>
    <row r="18">
      <c r="A18" s="47"/>
      <c r="B18" s="48" t="str">
        <f>IFERROR(__xludf.DUMMYFUNCTION("GOOGLEFINANCE(A18,""name"")"),"#N/A")</f>
        <v>#N/A</v>
      </c>
      <c r="C18" s="270"/>
      <c r="D18" s="50" t="str">
        <f>IFERROR(__xludf.DUMMYFUNCTION("GOOGLEFINANCE(A18)"),"#N/A")</f>
        <v>#N/A</v>
      </c>
      <c r="E18" s="51"/>
      <c r="F18" s="52" t="str">
        <f>IFERROR(__xludf.DUMMYFUNCTION("IF(M18=""USD"",E18/GOOGLEFINANCE(""CURRENCY:GBPUSD""),E18)"),"#N/A")</f>
        <v>#N/A</v>
      </c>
      <c r="G18" s="51"/>
      <c r="H18" s="53">
        <f>IFERROR(__xludf.DUMMYFUNCTION("if(isblank(A18)=TRUE,0,if(M18=""GBX"",E18*G18/100,IF(M18=""EUR"",E18*G18/GOOGLEFINANCE(""CURRENCY:GBPEUR""),E18*G18/GOOGLEFINANCE(""CURRENCY:GBPUSD""))))"),0.0)</f>
        <v>0</v>
      </c>
      <c r="I18" s="54">
        <f>IFERROR(__xludf.DUMMYFUNCTION("if(isblank(A18)=TRUE,0,if(M18=""GBX"",D18*G18/100,IF(M18=""EUR"",D18*G18/GOOGLEFINANCE(""CURRENCY:GBPEUR""),D18*G18/GOOGLEFINANCE(""CURRENCY:GBPUSD""))))"),0.0)</f>
        <v>0</v>
      </c>
      <c r="J18" s="55">
        <f t="shared" si="1"/>
        <v>0</v>
      </c>
      <c r="K18" s="55" t="str">
        <f t="shared" si="2"/>
        <v>#DIV/0!</v>
      </c>
      <c r="L18" s="56" t="str">
        <f>IFERROR(__xludf.DUMMYFUNCTION("SPARKLINE(GoogleFinance(A18, ""price"", TODAY()-30, TODAY()),{""color"",""blue"";""linewidth"",2})        "),"#N/A")</f>
        <v>#N/A</v>
      </c>
      <c r="M18" s="17" t="str">
        <f>IFERROR(__xludf.DUMMYFUNCTION("GOOGLEFINANCE(A18,""currency"")"),"#N/A")</f>
        <v>#N/A</v>
      </c>
      <c r="N18" s="57" t="str">
        <f t="shared" si="3"/>
        <v>#N/A</v>
      </c>
      <c r="O18" s="58" t="str">
        <f>IFERROR(__xludf.DUMMYFUNCTION("GOOGLEFINANCE(A18,""Change"")"),"#N/A")</f>
        <v>#N/A</v>
      </c>
      <c r="P18" s="59" t="str">
        <f>IFERROR(__xludf.DUMMYFUNCTION("GOOGLEFINANCE(A18,""High"")"),"#N/A")</f>
        <v>#N/A</v>
      </c>
      <c r="Q18" s="59" t="str">
        <f>IFERROR(__xludf.DUMMYFUNCTION("GOOGLEFINANCE(A18,""low"")"),"#N/A")</f>
        <v>#N/A</v>
      </c>
      <c r="R18" s="57" t="str">
        <f>IFERROR(__xludf.DUMMYFUNCTION("abs(P18-Q18)/GOOGLEFINANCE(A18,""closeyest"")"),"#N/A")</f>
        <v>#N/A</v>
      </c>
      <c r="S18" s="60" t="str">
        <f t="shared" si="4"/>
        <v>#N/A</v>
      </c>
      <c r="T18" s="62"/>
      <c r="U18" s="62"/>
      <c r="V18" s="63"/>
      <c r="W18" s="64" t="str">
        <f t="shared" si="5"/>
        <v>DATA UNAVAILABLE</v>
      </c>
      <c r="X18" s="65" t="str">
        <f>IFERROR(__xludf.DUMMYFUNCTION("GOOGLEFINANCE($A18,X$3)"),"#N/A")</f>
        <v>#N/A</v>
      </c>
      <c r="Y18" s="65" t="str">
        <f>IFERROR(__xludf.DUMMYFUNCTION("GOOGLEFINANCE($A18,Y$3)"),"#N/A")</f>
        <v>#N/A</v>
      </c>
      <c r="Z18" s="65" t="str">
        <f>IFERROR(__xludf.DUMMYFUNCTION("GOOGLEFINANCE($A18,Z$3)"),"#N/A")</f>
        <v>#N/A</v>
      </c>
      <c r="AA18" s="65" t="str">
        <f>IFERROR(__xludf.DUMMYFUNCTION("GOOGLEFINANCE($A18,AA$3)"),"#N/A")</f>
        <v>#N/A</v>
      </c>
      <c r="AB18" s="65" t="str">
        <f>IFERROR(__xludf.DUMMYFUNCTION("GOOGLEFINANCE($A18,AB$3)"),"#N/A")</f>
        <v>#N/A</v>
      </c>
      <c r="AC18" s="65" t="str">
        <f>IFERROR(__xludf.DUMMYFUNCTION("GOOGLEFINANCE($A18,AC$3)"),"#N/A")</f>
        <v>#N/A</v>
      </c>
      <c r="AD18" s="65" t="str">
        <f>IFERROR(__xludf.DUMMYFUNCTION("GOOGLEFINANCE($A18,AD$3)"),"#N/A")</f>
        <v>#N/A</v>
      </c>
      <c r="AE18" s="65" t="str">
        <f>IFERROR(__xludf.DUMMYFUNCTION("GOOGLEFINANCE($A18,AE$3)"),"#N/A")</f>
        <v>#N/A</v>
      </c>
      <c r="AF18" s="17"/>
      <c r="AG18" s="17"/>
      <c r="AH18" s="17"/>
      <c r="AI18" s="17"/>
      <c r="AJ18" s="17"/>
      <c r="AK18" s="17"/>
    </row>
    <row r="19">
      <c r="A19" s="47"/>
      <c r="B19" s="48" t="str">
        <f>IFERROR(__xludf.DUMMYFUNCTION("GOOGLEFINANCE(A19,""name"")"),"#N/A")</f>
        <v>#N/A</v>
      </c>
      <c r="C19" s="270"/>
      <c r="D19" s="50" t="str">
        <f>IFERROR(__xludf.DUMMYFUNCTION("GOOGLEFINANCE(A19)"),"#N/A")</f>
        <v>#N/A</v>
      </c>
      <c r="E19" s="51"/>
      <c r="F19" s="52" t="str">
        <f>IFERROR(__xludf.DUMMYFUNCTION("IF(M19=""USD"",E19/GOOGLEFINANCE(""CURRENCY:GBPUSD""),E19)"),"#N/A")</f>
        <v>#N/A</v>
      </c>
      <c r="G19" s="51"/>
      <c r="H19" s="53">
        <f>IFERROR(__xludf.DUMMYFUNCTION("if(isblank(A19)=TRUE,0,if(M19=""GBX"",E19*G19/100,IF(M19=""EUR"",E19*G19/GOOGLEFINANCE(""CURRENCY:GBPEUR""),E19*G19/GOOGLEFINANCE(""CURRENCY:GBPUSD""))))"),0.0)</f>
        <v>0</v>
      </c>
      <c r="I19" s="54">
        <f>IFERROR(__xludf.DUMMYFUNCTION("if(isblank(A19)=TRUE,0,if(M19=""GBX"",D19*G19/100,IF(M19=""EUR"",D19*G19/GOOGLEFINANCE(""CURRENCY:GBPEUR""),D19*G19/GOOGLEFINANCE(""CURRENCY:GBPUSD""))))"),0.0)</f>
        <v>0</v>
      </c>
      <c r="J19" s="55">
        <f t="shared" si="1"/>
        <v>0</v>
      </c>
      <c r="K19" s="55" t="str">
        <f t="shared" si="2"/>
        <v>#DIV/0!</v>
      </c>
      <c r="L19" s="56" t="str">
        <f>IFERROR(__xludf.DUMMYFUNCTION("SPARKLINE(GoogleFinance(A19, ""price"", TODAY()-30, TODAY()),{""color"",""blue"";""linewidth"",2})        "),"#N/A")</f>
        <v>#N/A</v>
      </c>
      <c r="M19" s="17" t="str">
        <f>IFERROR(__xludf.DUMMYFUNCTION("GOOGLEFINANCE(A19,""currency"")"),"#N/A")</f>
        <v>#N/A</v>
      </c>
      <c r="N19" s="57" t="str">
        <f t="shared" si="3"/>
        <v>#N/A</v>
      </c>
      <c r="O19" s="58" t="str">
        <f>IFERROR(__xludf.DUMMYFUNCTION("GOOGLEFINANCE(A19,""Change"")"),"#N/A")</f>
        <v>#N/A</v>
      </c>
      <c r="P19" s="59" t="str">
        <f>IFERROR(__xludf.DUMMYFUNCTION("GOOGLEFINANCE(A19,""High"")"),"#N/A")</f>
        <v>#N/A</v>
      </c>
      <c r="Q19" s="59" t="str">
        <f>IFERROR(__xludf.DUMMYFUNCTION("GOOGLEFINANCE(A19,""low"")"),"#N/A")</f>
        <v>#N/A</v>
      </c>
      <c r="R19" s="57" t="str">
        <f>IFERROR(__xludf.DUMMYFUNCTION("abs(P19-Q19)/GOOGLEFINANCE(A19,""closeyest"")"),"#N/A")</f>
        <v>#N/A</v>
      </c>
      <c r="S19" s="60" t="str">
        <f t="shared" si="4"/>
        <v>#N/A</v>
      </c>
      <c r="T19" s="62"/>
      <c r="U19" s="62"/>
      <c r="V19" s="63"/>
      <c r="W19" s="64" t="str">
        <f t="shared" si="5"/>
        <v>DATA UNAVAILABLE</v>
      </c>
      <c r="X19" s="65" t="str">
        <f>IFERROR(__xludf.DUMMYFUNCTION("GOOGLEFINANCE($A19,X$3)"),"#N/A")</f>
        <v>#N/A</v>
      </c>
      <c r="Y19" s="65" t="str">
        <f>IFERROR(__xludf.DUMMYFUNCTION("GOOGLEFINANCE($A19,Y$3)"),"#N/A")</f>
        <v>#N/A</v>
      </c>
      <c r="Z19" s="65" t="str">
        <f>IFERROR(__xludf.DUMMYFUNCTION("GOOGLEFINANCE($A19,Z$3)"),"#N/A")</f>
        <v>#N/A</v>
      </c>
      <c r="AA19" s="65" t="str">
        <f>IFERROR(__xludf.DUMMYFUNCTION("GOOGLEFINANCE($A19,AA$3)"),"#N/A")</f>
        <v>#N/A</v>
      </c>
      <c r="AB19" s="65" t="str">
        <f>IFERROR(__xludf.DUMMYFUNCTION("GOOGLEFINANCE($A19,AB$3)"),"#N/A")</f>
        <v>#N/A</v>
      </c>
      <c r="AC19" s="65" t="str">
        <f>IFERROR(__xludf.DUMMYFUNCTION("GOOGLEFINANCE($A19,AC$3)"),"#N/A")</f>
        <v>#N/A</v>
      </c>
      <c r="AD19" s="65" t="str">
        <f>IFERROR(__xludf.DUMMYFUNCTION("GOOGLEFINANCE($A19,AD$3)"),"#N/A")</f>
        <v>#N/A</v>
      </c>
      <c r="AE19" s="65" t="str">
        <f>IFERROR(__xludf.DUMMYFUNCTION("GOOGLEFINANCE($A19,AE$3)"),"#N/A")</f>
        <v>#N/A</v>
      </c>
      <c r="AF19" s="17"/>
      <c r="AG19" s="17"/>
      <c r="AH19" s="17"/>
      <c r="AI19" s="17"/>
      <c r="AJ19" s="17"/>
      <c r="AK19" s="17"/>
    </row>
    <row r="20">
      <c r="A20" s="47"/>
      <c r="B20" s="48" t="str">
        <f>IFERROR(__xludf.DUMMYFUNCTION("GOOGLEFINANCE(A20,""name"")"),"#N/A")</f>
        <v>#N/A</v>
      </c>
      <c r="C20" s="270"/>
      <c r="D20" s="50" t="str">
        <f>IFERROR(__xludf.DUMMYFUNCTION("GOOGLEFINANCE(A20)"),"#N/A")</f>
        <v>#N/A</v>
      </c>
      <c r="E20" s="51"/>
      <c r="F20" s="52" t="str">
        <f>IFERROR(__xludf.DUMMYFUNCTION("IF(M20=""USD"",E20/GOOGLEFINANCE(""CURRENCY:GBPUSD""),E20)"),"#N/A")</f>
        <v>#N/A</v>
      </c>
      <c r="G20" s="51"/>
      <c r="H20" s="53">
        <f>IFERROR(__xludf.DUMMYFUNCTION("if(isblank(A20)=TRUE,0,if(M20=""GBX"",E20*G20/100,IF(M20=""EUR"",E20*G20/GOOGLEFINANCE(""CURRENCY:GBPEUR""),E20*G20/GOOGLEFINANCE(""CURRENCY:GBPUSD""))))"),0.0)</f>
        <v>0</v>
      </c>
      <c r="I20" s="54">
        <f>IFERROR(__xludf.DUMMYFUNCTION("if(isblank(A20)=TRUE,0,if(M20=""GBX"",D20*G20/100,IF(M20=""EUR"",D20*G20/GOOGLEFINANCE(""CURRENCY:GBPEUR""),D20*G20/GOOGLEFINANCE(""CURRENCY:GBPUSD""))))"),0.0)</f>
        <v>0</v>
      </c>
      <c r="J20" s="55">
        <f t="shared" si="1"/>
        <v>0</v>
      </c>
      <c r="K20" s="55" t="str">
        <f t="shared" si="2"/>
        <v>#DIV/0!</v>
      </c>
      <c r="L20" s="56" t="str">
        <f>IFERROR(__xludf.DUMMYFUNCTION("SPARKLINE(GoogleFinance(A20, ""price"", TODAY()-30, TODAY()),{""color"",""blue"";""linewidth"",2})        "),"#N/A")</f>
        <v>#N/A</v>
      </c>
      <c r="M20" s="17" t="str">
        <f>IFERROR(__xludf.DUMMYFUNCTION("GOOGLEFINANCE(A20,""currency"")"),"#N/A")</f>
        <v>#N/A</v>
      </c>
      <c r="N20" s="57" t="str">
        <f t="shared" si="3"/>
        <v>#N/A</v>
      </c>
      <c r="O20" s="58" t="str">
        <f>IFERROR(__xludf.DUMMYFUNCTION("GOOGLEFINANCE(A20,""Change"")"),"#N/A")</f>
        <v>#N/A</v>
      </c>
      <c r="P20" s="59" t="str">
        <f>IFERROR(__xludf.DUMMYFUNCTION("GOOGLEFINANCE(A20,""High"")"),"#N/A")</f>
        <v>#N/A</v>
      </c>
      <c r="Q20" s="59" t="str">
        <f>IFERROR(__xludf.DUMMYFUNCTION("GOOGLEFINANCE(A20,""low"")"),"#N/A")</f>
        <v>#N/A</v>
      </c>
      <c r="R20" s="57" t="str">
        <f>IFERROR(__xludf.DUMMYFUNCTION("abs(P20-Q20)/GOOGLEFINANCE(A20,""closeyest"")"),"#N/A")</f>
        <v>#N/A</v>
      </c>
      <c r="S20" s="60" t="str">
        <f t="shared" si="4"/>
        <v>#N/A</v>
      </c>
      <c r="T20" s="62"/>
      <c r="U20" s="62"/>
      <c r="V20" s="63"/>
      <c r="W20" s="64" t="str">
        <f t="shared" si="5"/>
        <v>DATA UNAVAILABLE</v>
      </c>
      <c r="X20" s="65" t="str">
        <f>IFERROR(__xludf.DUMMYFUNCTION("GOOGLEFINANCE($A20,X$3)"),"#N/A")</f>
        <v>#N/A</v>
      </c>
      <c r="Y20" s="65" t="str">
        <f>IFERROR(__xludf.DUMMYFUNCTION("GOOGLEFINANCE($A20,Y$3)"),"#N/A")</f>
        <v>#N/A</v>
      </c>
      <c r="Z20" s="65" t="str">
        <f>IFERROR(__xludf.DUMMYFUNCTION("GOOGLEFINANCE($A20,Z$3)"),"#N/A")</f>
        <v>#N/A</v>
      </c>
      <c r="AA20" s="65" t="str">
        <f>IFERROR(__xludf.DUMMYFUNCTION("GOOGLEFINANCE($A20,AA$3)"),"#N/A")</f>
        <v>#N/A</v>
      </c>
      <c r="AB20" s="65" t="str">
        <f>IFERROR(__xludf.DUMMYFUNCTION("GOOGLEFINANCE($A20,AB$3)"),"#N/A")</f>
        <v>#N/A</v>
      </c>
      <c r="AC20" s="65" t="str">
        <f>IFERROR(__xludf.DUMMYFUNCTION("GOOGLEFINANCE($A20,AC$3)"),"#N/A")</f>
        <v>#N/A</v>
      </c>
      <c r="AD20" s="65" t="str">
        <f>IFERROR(__xludf.DUMMYFUNCTION("GOOGLEFINANCE($A20,AD$3)"),"#N/A")</f>
        <v>#N/A</v>
      </c>
      <c r="AE20" s="65" t="str">
        <f>IFERROR(__xludf.DUMMYFUNCTION("GOOGLEFINANCE($A20,AE$3)"),"#N/A")</f>
        <v>#N/A</v>
      </c>
      <c r="AF20" s="17"/>
      <c r="AG20" s="17"/>
      <c r="AH20" s="17"/>
      <c r="AI20" s="17"/>
      <c r="AJ20" s="17"/>
      <c r="AK20" s="17"/>
    </row>
    <row r="21">
      <c r="A21" s="47"/>
      <c r="B21" s="48" t="str">
        <f>IFERROR(__xludf.DUMMYFUNCTION("GOOGLEFINANCE(A21,""name"")"),"#N/A")</f>
        <v>#N/A</v>
      </c>
      <c r="C21" s="270"/>
      <c r="D21" s="50" t="str">
        <f>IFERROR(__xludf.DUMMYFUNCTION("GOOGLEFINANCE(A21)"),"#N/A")</f>
        <v>#N/A</v>
      </c>
      <c r="E21" s="51"/>
      <c r="F21" s="52" t="str">
        <f>IFERROR(__xludf.DUMMYFUNCTION("IF(M21=""USD"",E21/GOOGLEFINANCE(""CURRENCY:GBPUSD""),E21)"),"#N/A")</f>
        <v>#N/A</v>
      </c>
      <c r="G21" s="51"/>
      <c r="H21" s="53">
        <f>IFERROR(__xludf.DUMMYFUNCTION("if(isblank(A21)=TRUE,0,if(M21=""GBX"",E21*G21/100,IF(M21=""EUR"",E21*G21/GOOGLEFINANCE(""CURRENCY:GBPEUR""),E21*G21/GOOGLEFINANCE(""CURRENCY:GBPUSD""))))"),0.0)</f>
        <v>0</v>
      </c>
      <c r="I21" s="54">
        <f>IFERROR(__xludf.DUMMYFUNCTION("if(isblank(A21)=TRUE,0,if(M21=""GBX"",D21*G21/100,IF(M21=""EUR"",D21*G21/GOOGLEFINANCE(""CURRENCY:GBPEUR""),D21*G21/GOOGLEFINANCE(""CURRENCY:GBPUSD""))))"),0.0)</f>
        <v>0</v>
      </c>
      <c r="J21" s="55">
        <f t="shared" si="1"/>
        <v>0</v>
      </c>
      <c r="K21" s="55" t="str">
        <f t="shared" si="2"/>
        <v>#DIV/0!</v>
      </c>
      <c r="L21" s="56" t="str">
        <f>IFERROR(__xludf.DUMMYFUNCTION("SPARKLINE(GoogleFinance(A21, ""price"", TODAY()-30, TODAY()),{""color"",""blue"";""linewidth"",2})        "),"#N/A")</f>
        <v>#N/A</v>
      </c>
      <c r="M21" s="17" t="str">
        <f>IFERROR(__xludf.DUMMYFUNCTION("GOOGLEFINANCE(A21,""currency"")"),"#N/A")</f>
        <v>#N/A</v>
      </c>
      <c r="N21" s="57" t="str">
        <f t="shared" si="3"/>
        <v>#N/A</v>
      </c>
      <c r="O21" s="58" t="str">
        <f>IFERROR(__xludf.DUMMYFUNCTION("GOOGLEFINANCE(A21,""Change"")"),"#N/A")</f>
        <v>#N/A</v>
      </c>
      <c r="P21" s="59" t="str">
        <f>IFERROR(__xludf.DUMMYFUNCTION("GOOGLEFINANCE(A21,""High"")"),"#N/A")</f>
        <v>#N/A</v>
      </c>
      <c r="Q21" s="59" t="str">
        <f>IFERROR(__xludf.DUMMYFUNCTION("GOOGLEFINANCE(A21,""low"")"),"#N/A")</f>
        <v>#N/A</v>
      </c>
      <c r="R21" s="57" t="str">
        <f>IFERROR(__xludf.DUMMYFUNCTION("abs(P21-Q21)/GOOGLEFINANCE(A21,""closeyest"")"),"#N/A")</f>
        <v>#N/A</v>
      </c>
      <c r="S21" s="60" t="str">
        <f t="shared" si="4"/>
        <v>#N/A</v>
      </c>
      <c r="T21" s="62"/>
      <c r="U21" s="62"/>
      <c r="V21" s="63"/>
      <c r="W21" s="64" t="str">
        <f t="shared" si="5"/>
        <v>DATA UNAVAILABLE</v>
      </c>
      <c r="X21" s="65" t="str">
        <f>IFERROR(__xludf.DUMMYFUNCTION("GOOGLEFINANCE($A21,X$3)"),"#N/A")</f>
        <v>#N/A</v>
      </c>
      <c r="Y21" s="65" t="str">
        <f>IFERROR(__xludf.DUMMYFUNCTION("GOOGLEFINANCE($A21,Y$3)"),"#N/A")</f>
        <v>#N/A</v>
      </c>
      <c r="Z21" s="65" t="str">
        <f>IFERROR(__xludf.DUMMYFUNCTION("GOOGLEFINANCE($A21,Z$3)"),"#N/A")</f>
        <v>#N/A</v>
      </c>
      <c r="AA21" s="65" t="str">
        <f>IFERROR(__xludf.DUMMYFUNCTION("GOOGLEFINANCE($A21,AA$3)"),"#N/A")</f>
        <v>#N/A</v>
      </c>
      <c r="AB21" s="65" t="str">
        <f>IFERROR(__xludf.DUMMYFUNCTION("GOOGLEFINANCE($A21,AB$3)"),"#N/A")</f>
        <v>#N/A</v>
      </c>
      <c r="AC21" s="65" t="str">
        <f>IFERROR(__xludf.DUMMYFUNCTION("GOOGLEFINANCE($A21,AC$3)"),"#N/A")</f>
        <v>#N/A</v>
      </c>
      <c r="AD21" s="65" t="str">
        <f>IFERROR(__xludf.DUMMYFUNCTION("GOOGLEFINANCE($A21,AD$3)"),"#N/A")</f>
        <v>#N/A</v>
      </c>
      <c r="AE21" s="65" t="str">
        <f>IFERROR(__xludf.DUMMYFUNCTION("GOOGLEFINANCE($A21,AE$3)"),"#N/A")</f>
        <v>#N/A</v>
      </c>
      <c r="AF21" s="17"/>
      <c r="AG21" s="17"/>
      <c r="AH21" s="17"/>
      <c r="AI21" s="17"/>
      <c r="AJ21" s="17"/>
      <c r="AK21" s="17"/>
    </row>
    <row r="22">
      <c r="A22" s="47"/>
      <c r="B22" s="48" t="str">
        <f>IFERROR(__xludf.DUMMYFUNCTION("GOOGLEFINANCE(A22,""name"")"),"#N/A")</f>
        <v>#N/A</v>
      </c>
      <c r="C22" s="270"/>
      <c r="D22" s="50" t="str">
        <f>IFERROR(__xludf.DUMMYFUNCTION("GOOGLEFINANCE(A22)"),"#N/A")</f>
        <v>#N/A</v>
      </c>
      <c r="E22" s="51"/>
      <c r="F22" s="52" t="str">
        <f>IFERROR(__xludf.DUMMYFUNCTION("IF(M22=""USD"",E22/GOOGLEFINANCE(""CURRENCY:GBPUSD""),E22)"),"#N/A")</f>
        <v>#N/A</v>
      </c>
      <c r="G22" s="51"/>
      <c r="H22" s="53">
        <f>IFERROR(__xludf.DUMMYFUNCTION("if(isblank(A22)=TRUE,0,if(M22=""GBX"",E22*G22/100,IF(M22=""EUR"",E22*G22/GOOGLEFINANCE(""CURRENCY:GBPEUR""),E22*G22/GOOGLEFINANCE(""CURRENCY:GBPUSD""))))"),0.0)</f>
        <v>0</v>
      </c>
      <c r="I22" s="54">
        <f>IFERROR(__xludf.DUMMYFUNCTION("if(isblank(A22)=TRUE,0,if(M22=""GBX"",D22*G22/100,IF(M22=""EUR"",D22*G22/GOOGLEFINANCE(""CURRENCY:GBPEUR""),D22*G22/GOOGLEFINANCE(""CURRENCY:GBPUSD""))))"),0.0)</f>
        <v>0</v>
      </c>
      <c r="J22" s="55">
        <f t="shared" si="1"/>
        <v>0</v>
      </c>
      <c r="K22" s="55" t="str">
        <f t="shared" si="2"/>
        <v>#DIV/0!</v>
      </c>
      <c r="L22" s="56" t="str">
        <f>IFERROR(__xludf.DUMMYFUNCTION("SPARKLINE(GoogleFinance(A22, ""price"", TODAY()-30, TODAY()),{""color"",""blue"";""linewidth"",2})        "),"#N/A")</f>
        <v>#N/A</v>
      </c>
      <c r="M22" s="17" t="str">
        <f>IFERROR(__xludf.DUMMYFUNCTION("GOOGLEFINANCE(A22,""currency"")"),"#N/A")</f>
        <v>#N/A</v>
      </c>
      <c r="N22" s="57" t="str">
        <f t="shared" si="3"/>
        <v>#N/A</v>
      </c>
      <c r="O22" s="58" t="str">
        <f>IFERROR(__xludf.DUMMYFUNCTION("GOOGLEFINANCE(A22,""Change"")"),"#N/A")</f>
        <v>#N/A</v>
      </c>
      <c r="P22" s="59" t="str">
        <f>IFERROR(__xludf.DUMMYFUNCTION("GOOGLEFINANCE(A22,""High"")"),"#N/A")</f>
        <v>#N/A</v>
      </c>
      <c r="Q22" s="59" t="str">
        <f>IFERROR(__xludf.DUMMYFUNCTION("GOOGLEFINANCE(A22,""low"")"),"#N/A")</f>
        <v>#N/A</v>
      </c>
      <c r="R22" s="57" t="str">
        <f>IFERROR(__xludf.DUMMYFUNCTION("abs(P22-Q22)/GOOGLEFINANCE(A22,""closeyest"")"),"#N/A")</f>
        <v>#N/A</v>
      </c>
      <c r="S22" s="60" t="str">
        <f t="shared" si="4"/>
        <v>#N/A</v>
      </c>
      <c r="T22" s="62"/>
      <c r="U22" s="62"/>
      <c r="V22" s="63"/>
      <c r="W22" s="64" t="str">
        <f t="shared" si="5"/>
        <v>DATA UNAVAILABLE</v>
      </c>
      <c r="X22" s="65" t="str">
        <f>IFERROR(__xludf.DUMMYFUNCTION("GOOGLEFINANCE($A22,X$3)"),"#N/A")</f>
        <v>#N/A</v>
      </c>
      <c r="Y22" s="65" t="str">
        <f>IFERROR(__xludf.DUMMYFUNCTION("GOOGLEFINANCE($A22,Y$3)"),"#N/A")</f>
        <v>#N/A</v>
      </c>
      <c r="Z22" s="65" t="str">
        <f>IFERROR(__xludf.DUMMYFUNCTION("GOOGLEFINANCE($A22,Z$3)"),"#N/A")</f>
        <v>#N/A</v>
      </c>
      <c r="AA22" s="65" t="str">
        <f>IFERROR(__xludf.DUMMYFUNCTION("GOOGLEFINANCE($A22,AA$3)"),"#N/A")</f>
        <v>#N/A</v>
      </c>
      <c r="AB22" s="65" t="str">
        <f>IFERROR(__xludf.DUMMYFUNCTION("GOOGLEFINANCE($A22,AB$3)"),"#N/A")</f>
        <v>#N/A</v>
      </c>
      <c r="AC22" s="65" t="str">
        <f>IFERROR(__xludf.DUMMYFUNCTION("GOOGLEFINANCE($A22,AC$3)"),"#N/A")</f>
        <v>#N/A</v>
      </c>
      <c r="AD22" s="65" t="str">
        <f>IFERROR(__xludf.DUMMYFUNCTION("GOOGLEFINANCE($A22,AD$3)"),"#N/A")</f>
        <v>#N/A</v>
      </c>
      <c r="AE22" s="65" t="str">
        <f>IFERROR(__xludf.DUMMYFUNCTION("GOOGLEFINANCE($A22,AE$3)"),"#N/A")</f>
        <v>#N/A</v>
      </c>
      <c r="AF22" s="17"/>
      <c r="AG22" s="17"/>
      <c r="AH22" s="17"/>
      <c r="AI22" s="17"/>
      <c r="AJ22" s="17"/>
      <c r="AK22" s="17"/>
    </row>
    <row r="23">
      <c r="A23" s="47"/>
      <c r="B23" s="48" t="str">
        <f>IFERROR(__xludf.DUMMYFUNCTION("GOOGLEFINANCE(A23,""name"")"),"#N/A")</f>
        <v>#N/A</v>
      </c>
      <c r="C23" s="270"/>
      <c r="D23" s="50" t="str">
        <f>IFERROR(__xludf.DUMMYFUNCTION("GOOGLEFINANCE(A23)"),"#N/A")</f>
        <v>#N/A</v>
      </c>
      <c r="E23" s="51"/>
      <c r="F23" s="52" t="str">
        <f>IFERROR(__xludf.DUMMYFUNCTION("IF(M23=""USD"",E23/GOOGLEFINANCE(""CURRENCY:GBPUSD""),E23)"),"#N/A")</f>
        <v>#N/A</v>
      </c>
      <c r="G23" s="51"/>
      <c r="H23" s="53">
        <f>IFERROR(__xludf.DUMMYFUNCTION("if(isblank(A23)=TRUE,0,if(M23=""GBX"",E23*G23/100,IF(M23=""EUR"",E23*G23/GOOGLEFINANCE(""CURRENCY:GBPEUR""),E23*G23/GOOGLEFINANCE(""CURRENCY:GBPUSD""))))"),0.0)</f>
        <v>0</v>
      </c>
      <c r="I23" s="54">
        <f>IFERROR(__xludf.DUMMYFUNCTION("if(isblank(A23)=TRUE,0,if(M23=""GBX"",D23*G23/100,IF(M23=""EUR"",D23*G23/GOOGLEFINANCE(""CURRENCY:GBPEUR""),D23*G23/GOOGLEFINANCE(""CURRENCY:GBPUSD""))))"),0.0)</f>
        <v>0</v>
      </c>
      <c r="J23" s="55">
        <f t="shared" si="1"/>
        <v>0</v>
      </c>
      <c r="K23" s="55" t="str">
        <f t="shared" si="2"/>
        <v>#DIV/0!</v>
      </c>
      <c r="L23" s="56" t="str">
        <f>IFERROR(__xludf.DUMMYFUNCTION("SPARKLINE(GoogleFinance(A23, ""price"", TODAY()-30, TODAY()),{""color"",""blue"";""linewidth"",2})        "),"#N/A")</f>
        <v>#N/A</v>
      </c>
      <c r="M23" s="17" t="str">
        <f>IFERROR(__xludf.DUMMYFUNCTION("GOOGLEFINANCE(A23,""currency"")"),"#N/A")</f>
        <v>#N/A</v>
      </c>
      <c r="N23" s="57" t="str">
        <f t="shared" si="3"/>
        <v>#N/A</v>
      </c>
      <c r="O23" s="58" t="str">
        <f>IFERROR(__xludf.DUMMYFUNCTION("GOOGLEFINANCE(A23,""Change"")"),"#N/A")</f>
        <v>#N/A</v>
      </c>
      <c r="P23" s="59" t="str">
        <f>IFERROR(__xludf.DUMMYFUNCTION("GOOGLEFINANCE(A23,""High"")"),"#N/A")</f>
        <v>#N/A</v>
      </c>
      <c r="Q23" s="59" t="str">
        <f>IFERROR(__xludf.DUMMYFUNCTION("GOOGLEFINANCE(A23,""low"")"),"#N/A")</f>
        <v>#N/A</v>
      </c>
      <c r="R23" s="57" t="str">
        <f>IFERROR(__xludf.DUMMYFUNCTION("abs(P23-Q23)/GOOGLEFINANCE(A23,""closeyest"")"),"#N/A")</f>
        <v>#N/A</v>
      </c>
      <c r="S23" s="60" t="str">
        <f t="shared" si="4"/>
        <v>#N/A</v>
      </c>
      <c r="T23" s="62"/>
      <c r="U23" s="62"/>
      <c r="V23" s="63"/>
      <c r="W23" s="64" t="str">
        <f t="shared" si="5"/>
        <v>DATA UNAVAILABLE</v>
      </c>
      <c r="X23" s="65" t="str">
        <f>IFERROR(__xludf.DUMMYFUNCTION("GOOGLEFINANCE($A23,X$3)"),"#N/A")</f>
        <v>#N/A</v>
      </c>
      <c r="Y23" s="65" t="str">
        <f>IFERROR(__xludf.DUMMYFUNCTION("GOOGLEFINANCE($A23,Y$3)"),"#N/A")</f>
        <v>#N/A</v>
      </c>
      <c r="Z23" s="65" t="str">
        <f>IFERROR(__xludf.DUMMYFUNCTION("GOOGLEFINANCE($A23,Z$3)"),"#N/A")</f>
        <v>#N/A</v>
      </c>
      <c r="AA23" s="65" t="str">
        <f>IFERROR(__xludf.DUMMYFUNCTION("GOOGLEFINANCE($A23,AA$3)"),"#N/A")</f>
        <v>#N/A</v>
      </c>
      <c r="AB23" s="65" t="str">
        <f>IFERROR(__xludf.DUMMYFUNCTION("GOOGLEFINANCE($A23,AB$3)"),"#N/A")</f>
        <v>#N/A</v>
      </c>
      <c r="AC23" s="65" t="str">
        <f>IFERROR(__xludf.DUMMYFUNCTION("GOOGLEFINANCE($A23,AC$3)"),"#N/A")</f>
        <v>#N/A</v>
      </c>
      <c r="AD23" s="65" t="str">
        <f>IFERROR(__xludf.DUMMYFUNCTION("GOOGLEFINANCE($A23,AD$3)"),"#N/A")</f>
        <v>#N/A</v>
      </c>
      <c r="AE23" s="65" t="str">
        <f>IFERROR(__xludf.DUMMYFUNCTION("GOOGLEFINANCE($A23,AE$3)"),"#N/A")</f>
        <v>#N/A</v>
      </c>
      <c r="AF23" s="17"/>
      <c r="AG23" s="17"/>
      <c r="AH23" s="17"/>
      <c r="AI23" s="17"/>
      <c r="AJ23" s="17"/>
      <c r="AK23" s="17"/>
    </row>
    <row r="24">
      <c r="A24" s="47"/>
      <c r="B24" s="48" t="str">
        <f>IFERROR(__xludf.DUMMYFUNCTION("GOOGLEFINANCE(A24,""name"")"),"#N/A")</f>
        <v>#N/A</v>
      </c>
      <c r="C24" s="270"/>
      <c r="D24" s="50" t="str">
        <f>IFERROR(__xludf.DUMMYFUNCTION("GOOGLEFINANCE(A24)"),"#N/A")</f>
        <v>#N/A</v>
      </c>
      <c r="E24" s="51"/>
      <c r="F24" s="52" t="str">
        <f>IFERROR(__xludf.DUMMYFUNCTION("IF(M24=""USD"",E24/GOOGLEFINANCE(""CURRENCY:GBPUSD""),E24)"),"#N/A")</f>
        <v>#N/A</v>
      </c>
      <c r="G24" s="51"/>
      <c r="H24" s="53">
        <f>IFERROR(__xludf.DUMMYFUNCTION("if(isblank(A24)=TRUE,0,if(M24=""GBX"",E24*G24/100,IF(M24=""EUR"",E24*G24/GOOGLEFINANCE(""CURRENCY:GBPEUR""),E24*G24/GOOGLEFINANCE(""CURRENCY:GBPUSD""))))"),0.0)</f>
        <v>0</v>
      </c>
      <c r="I24" s="54">
        <f>IFERROR(__xludf.DUMMYFUNCTION("if(isblank(A24)=TRUE,0,if(M24=""GBX"",D24*G24/100,IF(M24=""EUR"",D24*G24/GOOGLEFINANCE(""CURRENCY:GBPEUR""),D24*G24/GOOGLEFINANCE(""CURRENCY:GBPUSD""))))"),0.0)</f>
        <v>0</v>
      </c>
      <c r="J24" s="55">
        <f t="shared" si="1"/>
        <v>0</v>
      </c>
      <c r="K24" s="55" t="str">
        <f t="shared" si="2"/>
        <v>#DIV/0!</v>
      </c>
      <c r="L24" s="56" t="str">
        <f>IFERROR(__xludf.DUMMYFUNCTION("SPARKLINE(GoogleFinance(A24, ""price"", TODAY()-30, TODAY()),{""color"",""blue"";""linewidth"",2})        "),"#N/A")</f>
        <v>#N/A</v>
      </c>
      <c r="M24" s="17" t="str">
        <f>IFERROR(__xludf.DUMMYFUNCTION("GOOGLEFINANCE(A24,""currency"")"),"#N/A")</f>
        <v>#N/A</v>
      </c>
      <c r="N24" s="57" t="str">
        <f t="shared" si="3"/>
        <v>#N/A</v>
      </c>
      <c r="O24" s="58" t="str">
        <f>IFERROR(__xludf.DUMMYFUNCTION("GOOGLEFINANCE(A24,""Change"")"),"#N/A")</f>
        <v>#N/A</v>
      </c>
      <c r="P24" s="59" t="str">
        <f>IFERROR(__xludf.DUMMYFUNCTION("GOOGLEFINANCE(A24,""High"")"),"#N/A")</f>
        <v>#N/A</v>
      </c>
      <c r="Q24" s="59" t="str">
        <f>IFERROR(__xludf.DUMMYFUNCTION("GOOGLEFINANCE(A24,""low"")"),"#N/A")</f>
        <v>#N/A</v>
      </c>
      <c r="R24" s="57" t="str">
        <f>IFERROR(__xludf.DUMMYFUNCTION("abs(P24-Q24)/GOOGLEFINANCE(A24,""closeyest"")"),"#N/A")</f>
        <v>#N/A</v>
      </c>
      <c r="S24" s="60" t="str">
        <f t="shared" si="4"/>
        <v>#N/A</v>
      </c>
      <c r="T24" s="62"/>
      <c r="U24" s="62"/>
      <c r="V24" s="63"/>
      <c r="W24" s="64" t="str">
        <f t="shared" si="5"/>
        <v>DATA UNAVAILABLE</v>
      </c>
      <c r="X24" s="65" t="str">
        <f>IFERROR(__xludf.DUMMYFUNCTION("GOOGLEFINANCE($A24,X$3)"),"#N/A")</f>
        <v>#N/A</v>
      </c>
      <c r="Y24" s="65" t="str">
        <f>IFERROR(__xludf.DUMMYFUNCTION("GOOGLEFINANCE($A24,Y$3)"),"#N/A")</f>
        <v>#N/A</v>
      </c>
      <c r="Z24" s="65" t="str">
        <f>IFERROR(__xludf.DUMMYFUNCTION("GOOGLEFINANCE($A24,Z$3)"),"#N/A")</f>
        <v>#N/A</v>
      </c>
      <c r="AA24" s="65" t="str">
        <f>IFERROR(__xludf.DUMMYFUNCTION("GOOGLEFINANCE($A24,AA$3)"),"#N/A")</f>
        <v>#N/A</v>
      </c>
      <c r="AB24" s="65" t="str">
        <f>IFERROR(__xludf.DUMMYFUNCTION("GOOGLEFINANCE($A24,AB$3)"),"#N/A")</f>
        <v>#N/A</v>
      </c>
      <c r="AC24" s="65" t="str">
        <f>IFERROR(__xludf.DUMMYFUNCTION("GOOGLEFINANCE($A24,AC$3)"),"#N/A")</f>
        <v>#N/A</v>
      </c>
      <c r="AD24" s="65" t="str">
        <f>IFERROR(__xludf.DUMMYFUNCTION("GOOGLEFINANCE($A24,AD$3)"),"#N/A")</f>
        <v>#N/A</v>
      </c>
      <c r="AE24" s="65" t="str">
        <f>IFERROR(__xludf.DUMMYFUNCTION("GOOGLEFINANCE($A24,AE$3)"),"#N/A")</f>
        <v>#N/A</v>
      </c>
      <c r="AF24" s="17"/>
      <c r="AG24" s="17"/>
      <c r="AH24" s="17"/>
      <c r="AI24" s="17"/>
      <c r="AJ24" s="17"/>
      <c r="AK24" s="17"/>
    </row>
    <row r="25" ht="15.75" customHeight="1">
      <c r="A25" s="47"/>
      <c r="B25" s="48" t="str">
        <f>IFERROR(__xludf.DUMMYFUNCTION("GOOGLEFINANCE(A25,""name"")"),"#N/A")</f>
        <v>#N/A</v>
      </c>
      <c r="C25" s="270"/>
      <c r="D25" s="50" t="str">
        <f>IFERROR(__xludf.DUMMYFUNCTION("GOOGLEFINANCE(A25)"),"#N/A")</f>
        <v>#N/A</v>
      </c>
      <c r="E25" s="51"/>
      <c r="F25" s="52" t="str">
        <f>IFERROR(__xludf.DUMMYFUNCTION("IF(M25=""USD"",E25/GOOGLEFINANCE(""CURRENCY:GBPUSD""),E25)"),"#N/A")</f>
        <v>#N/A</v>
      </c>
      <c r="G25" s="51"/>
      <c r="H25" s="53">
        <f>IFERROR(__xludf.DUMMYFUNCTION("if(isblank(A25)=TRUE,0,if(M25=""GBX"",E25*G25/100,IF(M25=""EUR"",E25*G25/GOOGLEFINANCE(""CURRENCY:GBPEUR""),E25*G25/GOOGLEFINANCE(""CURRENCY:GBPUSD""))))"),0.0)</f>
        <v>0</v>
      </c>
      <c r="I25" s="54">
        <f>IFERROR(__xludf.DUMMYFUNCTION("if(isblank(A25)=TRUE,0,if(M25=""GBX"",D25*G25/100,IF(M25=""EUR"",D25*G25/GOOGLEFINANCE(""CURRENCY:GBPEUR""),D25*G25/GOOGLEFINANCE(""CURRENCY:GBPUSD""))))"),0.0)</f>
        <v>0</v>
      </c>
      <c r="J25" s="55">
        <f t="shared" si="1"/>
        <v>0</v>
      </c>
      <c r="K25" s="55" t="str">
        <f t="shared" si="2"/>
        <v>#DIV/0!</v>
      </c>
      <c r="L25" s="56" t="str">
        <f>IFERROR(__xludf.DUMMYFUNCTION("SPARKLINE(GoogleFinance(A25, ""price"", TODAY()-30, TODAY()),{""color"",""blue"";""linewidth"",2})        "),"#N/A")</f>
        <v>#N/A</v>
      </c>
      <c r="M25" s="17" t="str">
        <f>IFERROR(__xludf.DUMMYFUNCTION("GOOGLEFINANCE(A25,""currency"")"),"#N/A")</f>
        <v>#N/A</v>
      </c>
      <c r="N25" s="57" t="str">
        <f t="shared" si="3"/>
        <v>#N/A</v>
      </c>
      <c r="O25" s="58" t="str">
        <f>IFERROR(__xludf.DUMMYFUNCTION("GOOGLEFINANCE(A25,""Change"")"),"#N/A")</f>
        <v>#N/A</v>
      </c>
      <c r="P25" s="59" t="str">
        <f>IFERROR(__xludf.DUMMYFUNCTION("GOOGLEFINANCE(A25,""High"")"),"#N/A")</f>
        <v>#N/A</v>
      </c>
      <c r="Q25" s="59" t="str">
        <f>IFERROR(__xludf.DUMMYFUNCTION("GOOGLEFINANCE(A25,""low"")"),"#N/A")</f>
        <v>#N/A</v>
      </c>
      <c r="R25" s="57" t="str">
        <f>IFERROR(__xludf.DUMMYFUNCTION("abs(P25-Q25)/GOOGLEFINANCE(A25,""closeyest"")"),"#N/A")</f>
        <v>#N/A</v>
      </c>
      <c r="S25" s="60" t="str">
        <f t="shared" si="4"/>
        <v>#N/A</v>
      </c>
      <c r="T25" s="62"/>
      <c r="U25" s="62"/>
      <c r="V25" s="63"/>
      <c r="W25" s="64" t="str">
        <f t="shared" si="5"/>
        <v>DATA UNAVAILABLE</v>
      </c>
      <c r="X25" s="65" t="str">
        <f>IFERROR(__xludf.DUMMYFUNCTION("GOOGLEFINANCE($A25,X$3)"),"#N/A")</f>
        <v>#N/A</v>
      </c>
      <c r="Y25" s="65" t="str">
        <f>IFERROR(__xludf.DUMMYFUNCTION("GOOGLEFINANCE($A25,Y$3)"),"#N/A")</f>
        <v>#N/A</v>
      </c>
      <c r="Z25" s="65" t="str">
        <f>IFERROR(__xludf.DUMMYFUNCTION("GOOGLEFINANCE($A25,Z$3)"),"#N/A")</f>
        <v>#N/A</v>
      </c>
      <c r="AA25" s="65" t="str">
        <f>IFERROR(__xludf.DUMMYFUNCTION("GOOGLEFINANCE($A25,AA$3)"),"#N/A")</f>
        <v>#N/A</v>
      </c>
      <c r="AB25" s="65" t="str">
        <f>IFERROR(__xludf.DUMMYFUNCTION("GOOGLEFINANCE($A25,AB$3)"),"#N/A")</f>
        <v>#N/A</v>
      </c>
      <c r="AC25" s="65" t="str">
        <f>IFERROR(__xludf.DUMMYFUNCTION("GOOGLEFINANCE($A25,AC$3)"),"#N/A")</f>
        <v>#N/A</v>
      </c>
      <c r="AD25" s="65" t="str">
        <f>IFERROR(__xludf.DUMMYFUNCTION("GOOGLEFINANCE($A25,AD$3)"),"#N/A")</f>
        <v>#N/A</v>
      </c>
      <c r="AE25" s="65" t="str">
        <f>IFERROR(__xludf.DUMMYFUNCTION("GOOGLEFINANCE($A25,AE$3)"),"#N/A")</f>
        <v>#N/A</v>
      </c>
      <c r="AF25" s="17"/>
      <c r="AG25" s="17"/>
      <c r="AH25" s="17"/>
      <c r="AI25" s="17"/>
      <c r="AJ25" s="17"/>
      <c r="AK25" s="17"/>
    </row>
    <row r="26">
      <c r="A26" s="47"/>
      <c r="B26" s="48" t="str">
        <f>IFERROR(__xludf.DUMMYFUNCTION("GOOGLEFINANCE(A26,""name"")"),"#N/A")</f>
        <v>#N/A</v>
      </c>
      <c r="C26" s="270"/>
      <c r="D26" s="50" t="str">
        <f>IFERROR(__xludf.DUMMYFUNCTION("GOOGLEFINANCE(A26)"),"#N/A")</f>
        <v>#N/A</v>
      </c>
      <c r="E26" s="51"/>
      <c r="F26" s="52" t="str">
        <f>IFERROR(__xludf.DUMMYFUNCTION("IF(M26=""USD"",E26/GOOGLEFINANCE(""CURRENCY:GBPUSD""),E26)"),"#N/A")</f>
        <v>#N/A</v>
      </c>
      <c r="G26" s="51"/>
      <c r="H26" s="53">
        <f>IFERROR(__xludf.DUMMYFUNCTION("if(isblank(A26)=TRUE,0,if(M26=""GBX"",E26*G26/100,IF(M26=""EUR"",E26*G26/GOOGLEFINANCE(""CURRENCY:GBPEUR""),E26*G26/GOOGLEFINANCE(""CURRENCY:GBPUSD""))))"),0.0)</f>
        <v>0</v>
      </c>
      <c r="I26" s="54">
        <f>IFERROR(__xludf.DUMMYFUNCTION("if(isblank(A26)=TRUE,0,if(M26=""GBX"",D26*G26/100,IF(M26=""EUR"",D26*G26/GOOGLEFINANCE(""CURRENCY:GBPEUR""),D26*G26/GOOGLEFINANCE(""CURRENCY:GBPUSD""))))"),0.0)</f>
        <v>0</v>
      </c>
      <c r="J26" s="55">
        <f t="shared" si="1"/>
        <v>0</v>
      </c>
      <c r="K26" s="55" t="str">
        <f t="shared" si="2"/>
        <v>#DIV/0!</v>
      </c>
      <c r="L26" s="56" t="str">
        <f>IFERROR(__xludf.DUMMYFUNCTION("SPARKLINE(GoogleFinance(A26, ""price"", TODAY()-30, TODAY()),{""color"",""blue"";""linewidth"",2})        "),"#N/A")</f>
        <v>#N/A</v>
      </c>
      <c r="M26" s="17" t="str">
        <f>IFERROR(__xludf.DUMMYFUNCTION("GOOGLEFINANCE(A26,""currency"")"),"#N/A")</f>
        <v>#N/A</v>
      </c>
      <c r="N26" s="57" t="str">
        <f t="shared" si="3"/>
        <v>#N/A</v>
      </c>
      <c r="O26" s="58" t="str">
        <f>IFERROR(__xludf.DUMMYFUNCTION("GOOGLEFINANCE(A26,""Change"")"),"#N/A")</f>
        <v>#N/A</v>
      </c>
      <c r="P26" s="59" t="str">
        <f>IFERROR(__xludf.DUMMYFUNCTION("GOOGLEFINANCE(A26,""High"")"),"#N/A")</f>
        <v>#N/A</v>
      </c>
      <c r="Q26" s="59" t="str">
        <f>IFERROR(__xludf.DUMMYFUNCTION("GOOGLEFINANCE(A26,""low"")"),"#N/A")</f>
        <v>#N/A</v>
      </c>
      <c r="R26" s="57" t="str">
        <f>IFERROR(__xludf.DUMMYFUNCTION("abs(P26-Q26)/GOOGLEFINANCE(A26,""closeyest"")"),"#N/A")</f>
        <v>#N/A</v>
      </c>
      <c r="S26" s="60" t="str">
        <f t="shared" si="4"/>
        <v>#N/A</v>
      </c>
      <c r="T26" s="62"/>
      <c r="U26" s="62"/>
      <c r="V26" s="63"/>
      <c r="W26" s="64" t="str">
        <f t="shared" si="5"/>
        <v>DATA UNAVAILABLE</v>
      </c>
      <c r="X26" s="65" t="str">
        <f>IFERROR(__xludf.DUMMYFUNCTION("GOOGLEFINANCE($A26,X$3)"),"#N/A")</f>
        <v>#N/A</v>
      </c>
      <c r="Y26" s="65" t="str">
        <f>IFERROR(__xludf.DUMMYFUNCTION("GOOGLEFINANCE($A26,Y$3)"),"#N/A")</f>
        <v>#N/A</v>
      </c>
      <c r="Z26" s="65" t="str">
        <f>IFERROR(__xludf.DUMMYFUNCTION("GOOGLEFINANCE($A26,Z$3)"),"#N/A")</f>
        <v>#N/A</v>
      </c>
      <c r="AA26" s="65" t="str">
        <f>IFERROR(__xludf.DUMMYFUNCTION("GOOGLEFINANCE($A26,AA$3)"),"#N/A")</f>
        <v>#N/A</v>
      </c>
      <c r="AB26" s="65" t="str">
        <f>IFERROR(__xludf.DUMMYFUNCTION("GOOGLEFINANCE($A26,AB$3)"),"#N/A")</f>
        <v>#N/A</v>
      </c>
      <c r="AC26" s="65" t="str">
        <f>IFERROR(__xludf.DUMMYFUNCTION("GOOGLEFINANCE($A26,AC$3)"),"#N/A")</f>
        <v>#N/A</v>
      </c>
      <c r="AD26" s="65" t="str">
        <f>IFERROR(__xludf.DUMMYFUNCTION("GOOGLEFINANCE($A26,AD$3)"),"#N/A")</f>
        <v>#N/A</v>
      </c>
      <c r="AE26" s="65" t="str">
        <f>IFERROR(__xludf.DUMMYFUNCTION("GOOGLEFINANCE($A26,AE$3)"),"#N/A")</f>
        <v>#N/A</v>
      </c>
      <c r="AF26" s="17"/>
      <c r="AG26" s="17"/>
      <c r="AH26" s="17"/>
      <c r="AI26" s="17"/>
      <c r="AJ26" s="17"/>
      <c r="AK26" s="17"/>
    </row>
    <row r="27">
      <c r="A27" s="47"/>
      <c r="B27" s="48" t="str">
        <f>IFERROR(__xludf.DUMMYFUNCTION("GOOGLEFINANCE(A27,""name"")"),"#N/A")</f>
        <v>#N/A</v>
      </c>
      <c r="C27" s="270"/>
      <c r="D27" s="50" t="str">
        <f>IFERROR(__xludf.DUMMYFUNCTION("GOOGLEFINANCE(A27)"),"#N/A")</f>
        <v>#N/A</v>
      </c>
      <c r="E27" s="51"/>
      <c r="F27" s="52" t="str">
        <f>IFERROR(__xludf.DUMMYFUNCTION("IF(M27=""USD"",E27/GOOGLEFINANCE(""CURRENCY:GBPUSD""),E27)"),"#N/A")</f>
        <v>#N/A</v>
      </c>
      <c r="G27" s="51"/>
      <c r="H27" s="53">
        <f>IFERROR(__xludf.DUMMYFUNCTION("if(isblank(A27)=TRUE,0,if(M27=""GBX"",E27*G27/100,IF(M27=""EUR"",E27*G27/GOOGLEFINANCE(""CURRENCY:GBPEUR""),E27*G27/GOOGLEFINANCE(""CURRENCY:GBPUSD""))))"),0.0)</f>
        <v>0</v>
      </c>
      <c r="I27" s="54">
        <f>IFERROR(__xludf.DUMMYFUNCTION("if(isblank(A27)=TRUE,0,if(M27=""GBX"",D27*G27/100,IF(M27=""EUR"",D27*G27/GOOGLEFINANCE(""CURRENCY:GBPEUR""),D27*G27/GOOGLEFINANCE(""CURRENCY:GBPUSD""))))"),0.0)</f>
        <v>0</v>
      </c>
      <c r="J27" s="55">
        <f t="shared" si="1"/>
        <v>0</v>
      </c>
      <c r="K27" s="55" t="str">
        <f t="shared" si="2"/>
        <v>#DIV/0!</v>
      </c>
      <c r="L27" s="56" t="str">
        <f>IFERROR(__xludf.DUMMYFUNCTION("SPARKLINE(GoogleFinance(A27, ""price"", TODAY()-30, TODAY()),{""color"",""blue"";""linewidth"",2})        "),"#N/A")</f>
        <v>#N/A</v>
      </c>
      <c r="M27" s="17" t="str">
        <f>IFERROR(__xludf.DUMMYFUNCTION("GOOGLEFINANCE(A27,""currency"")"),"#N/A")</f>
        <v>#N/A</v>
      </c>
      <c r="N27" s="57" t="str">
        <f t="shared" si="3"/>
        <v>#N/A</v>
      </c>
      <c r="O27" s="58" t="str">
        <f>IFERROR(__xludf.DUMMYFUNCTION("GOOGLEFINANCE(A27,""Change"")"),"#N/A")</f>
        <v>#N/A</v>
      </c>
      <c r="P27" s="59" t="str">
        <f>IFERROR(__xludf.DUMMYFUNCTION("GOOGLEFINANCE(A27,""High"")"),"#N/A")</f>
        <v>#N/A</v>
      </c>
      <c r="Q27" s="59" t="str">
        <f>IFERROR(__xludf.DUMMYFUNCTION("GOOGLEFINANCE(A27,""low"")"),"#N/A")</f>
        <v>#N/A</v>
      </c>
      <c r="R27" s="57" t="str">
        <f>IFERROR(__xludf.DUMMYFUNCTION("abs(P27-Q27)/GOOGLEFINANCE(A27,""closeyest"")"),"#N/A")</f>
        <v>#N/A</v>
      </c>
      <c r="S27" s="60" t="str">
        <f t="shared" si="4"/>
        <v>#N/A</v>
      </c>
      <c r="T27" s="62"/>
      <c r="U27" s="62"/>
      <c r="V27" s="63"/>
      <c r="W27" s="64" t="str">
        <f t="shared" si="5"/>
        <v>DATA UNAVAILABLE</v>
      </c>
      <c r="X27" s="65" t="str">
        <f>IFERROR(__xludf.DUMMYFUNCTION("GOOGLEFINANCE($A27,X$3)"),"#N/A")</f>
        <v>#N/A</v>
      </c>
      <c r="Y27" s="65" t="str">
        <f>IFERROR(__xludf.DUMMYFUNCTION("GOOGLEFINANCE($A27,Y$3)"),"#N/A")</f>
        <v>#N/A</v>
      </c>
      <c r="Z27" s="65" t="str">
        <f>IFERROR(__xludf.DUMMYFUNCTION("GOOGLEFINANCE($A27,Z$3)"),"#N/A")</f>
        <v>#N/A</v>
      </c>
      <c r="AA27" s="65" t="str">
        <f>IFERROR(__xludf.DUMMYFUNCTION("GOOGLEFINANCE($A27,AA$3)"),"#N/A")</f>
        <v>#N/A</v>
      </c>
      <c r="AB27" s="65" t="str">
        <f>IFERROR(__xludf.DUMMYFUNCTION("GOOGLEFINANCE($A27,AB$3)"),"#N/A")</f>
        <v>#N/A</v>
      </c>
      <c r="AC27" s="65" t="str">
        <f>IFERROR(__xludf.DUMMYFUNCTION("GOOGLEFINANCE($A27,AC$3)"),"#N/A")</f>
        <v>#N/A</v>
      </c>
      <c r="AD27" s="65" t="str">
        <f>IFERROR(__xludf.DUMMYFUNCTION("GOOGLEFINANCE($A27,AD$3)"),"#N/A")</f>
        <v>#N/A</v>
      </c>
      <c r="AE27" s="65" t="str">
        <f>IFERROR(__xludf.DUMMYFUNCTION("GOOGLEFINANCE($A27,AE$3)"),"#N/A")</f>
        <v>#N/A</v>
      </c>
      <c r="AF27" s="17"/>
      <c r="AG27" s="17"/>
      <c r="AH27" s="17"/>
      <c r="AI27" s="17"/>
      <c r="AJ27" s="17"/>
      <c r="AK27" s="17"/>
    </row>
    <row r="28">
      <c r="A28" s="47"/>
      <c r="B28" s="48" t="str">
        <f>IFERROR(__xludf.DUMMYFUNCTION("GOOGLEFINANCE(A28,""name"")"),"#N/A")</f>
        <v>#N/A</v>
      </c>
      <c r="C28" s="270"/>
      <c r="D28" s="50" t="str">
        <f>IFERROR(__xludf.DUMMYFUNCTION("GOOGLEFINANCE(A28)"),"#N/A")</f>
        <v>#N/A</v>
      </c>
      <c r="E28" s="67"/>
      <c r="F28" s="52" t="str">
        <f>IFERROR(__xludf.DUMMYFUNCTION("IF(M28=""USD"",E28/GOOGLEFINANCE(""CURRENCY:GBPUSD""),E28)"),"#N/A")</f>
        <v>#N/A</v>
      </c>
      <c r="G28" s="51"/>
      <c r="H28" s="53">
        <f>IFERROR(__xludf.DUMMYFUNCTION("if(isblank(A28)=TRUE,0,if(M28=""GBX"",E28*G28/100,IF(M28=""EUR"",E28*G28/GOOGLEFINANCE(""CURRENCY:GBPEUR""),E28*G28/GOOGLEFINANCE(""CURRENCY:GBPUSD""))))"),0.0)</f>
        <v>0</v>
      </c>
      <c r="I28" s="54">
        <f>IFERROR(__xludf.DUMMYFUNCTION("if(isblank(A28)=TRUE,0,if(M28=""GBX"",D28*G28/100,IF(M28=""EUR"",D28*G28/GOOGLEFINANCE(""CURRENCY:GBPEUR""),D28*G28/GOOGLEFINANCE(""CURRENCY:GBPUSD""))))"),0.0)</f>
        <v>0</v>
      </c>
      <c r="J28" s="55">
        <f t="shared" si="1"/>
        <v>0</v>
      </c>
      <c r="K28" s="55" t="str">
        <f t="shared" si="2"/>
        <v>#DIV/0!</v>
      </c>
      <c r="L28" s="56" t="str">
        <f>IFERROR(__xludf.DUMMYFUNCTION("SPARKLINE(GoogleFinance(A28, ""price"", TODAY()-30, TODAY()),{""color"",""blue"";""linewidth"",2})        "),"#N/A")</f>
        <v>#N/A</v>
      </c>
      <c r="M28" s="17" t="str">
        <f>IFERROR(__xludf.DUMMYFUNCTION("GOOGLEFINANCE(A28,""currency"")"),"#N/A")</f>
        <v>#N/A</v>
      </c>
      <c r="N28" s="57" t="str">
        <f t="shared" si="3"/>
        <v>#N/A</v>
      </c>
      <c r="O28" s="58" t="str">
        <f>IFERROR(__xludf.DUMMYFUNCTION("GOOGLEFINANCE(A28,""Change"")"),"#N/A")</f>
        <v>#N/A</v>
      </c>
      <c r="P28" s="59" t="str">
        <f>IFERROR(__xludf.DUMMYFUNCTION("GOOGLEFINANCE(A28,""High"")"),"#N/A")</f>
        <v>#N/A</v>
      </c>
      <c r="Q28" s="59" t="str">
        <f>IFERROR(__xludf.DUMMYFUNCTION("GOOGLEFINANCE(A28,""low"")"),"#N/A")</f>
        <v>#N/A</v>
      </c>
      <c r="R28" s="57" t="str">
        <f>IFERROR(__xludf.DUMMYFUNCTION("abs(P28-Q28)/GOOGLEFINANCE(A28,""closeyest"")"),"#N/A")</f>
        <v>#N/A</v>
      </c>
      <c r="S28" s="60" t="str">
        <f t="shared" si="4"/>
        <v>#N/A</v>
      </c>
      <c r="T28" s="62"/>
      <c r="U28" s="62"/>
      <c r="V28" s="63"/>
      <c r="W28" s="64" t="str">
        <f t="shared" si="5"/>
        <v>DATA UNAVAILABLE</v>
      </c>
      <c r="X28" s="65" t="str">
        <f>IFERROR(__xludf.DUMMYFUNCTION("GOOGLEFINANCE($A28,X$3)"),"#N/A")</f>
        <v>#N/A</v>
      </c>
      <c r="Y28" s="65" t="str">
        <f>IFERROR(__xludf.DUMMYFUNCTION("GOOGLEFINANCE($A28,Y$3)"),"#N/A")</f>
        <v>#N/A</v>
      </c>
      <c r="Z28" s="65" t="str">
        <f>IFERROR(__xludf.DUMMYFUNCTION("GOOGLEFINANCE($A28,Z$3)"),"#N/A")</f>
        <v>#N/A</v>
      </c>
      <c r="AA28" s="65" t="str">
        <f>IFERROR(__xludf.DUMMYFUNCTION("GOOGLEFINANCE($A28,AA$3)"),"#N/A")</f>
        <v>#N/A</v>
      </c>
      <c r="AB28" s="65" t="str">
        <f>IFERROR(__xludf.DUMMYFUNCTION("GOOGLEFINANCE($A28,AB$3)"),"#N/A")</f>
        <v>#N/A</v>
      </c>
      <c r="AC28" s="65" t="str">
        <f>IFERROR(__xludf.DUMMYFUNCTION("GOOGLEFINANCE($A28,AC$3)"),"#N/A")</f>
        <v>#N/A</v>
      </c>
      <c r="AD28" s="65" t="str">
        <f>IFERROR(__xludf.DUMMYFUNCTION("GOOGLEFINANCE($A28,AD$3)"),"#N/A")</f>
        <v>#N/A</v>
      </c>
      <c r="AE28" s="65" t="str">
        <f>IFERROR(__xludf.DUMMYFUNCTION("GOOGLEFINANCE($A28,AE$3)"),"#N/A")</f>
        <v>#N/A</v>
      </c>
      <c r="AF28" s="17"/>
      <c r="AG28" s="17"/>
      <c r="AH28" s="17"/>
      <c r="AI28" s="17"/>
      <c r="AJ28" s="17"/>
      <c r="AK28" s="17"/>
    </row>
    <row r="29">
      <c r="A29" s="47"/>
      <c r="B29" s="48" t="str">
        <f>IFERROR(__xludf.DUMMYFUNCTION("GOOGLEFINANCE(A29,""name"")"),"#N/A")</f>
        <v>#N/A</v>
      </c>
      <c r="C29" s="270"/>
      <c r="D29" s="50" t="str">
        <f>IFERROR(__xludf.DUMMYFUNCTION("GOOGLEFINANCE(A29)"),"#N/A")</f>
        <v>#N/A</v>
      </c>
      <c r="E29" s="67"/>
      <c r="F29" s="52" t="str">
        <f>IFERROR(__xludf.DUMMYFUNCTION("IF(M29=""USD"",E29/GOOGLEFINANCE(""CURRENCY:GBPUSD""),E29)"),"#N/A")</f>
        <v>#N/A</v>
      </c>
      <c r="G29" s="67"/>
      <c r="H29" s="53">
        <f>IFERROR(__xludf.DUMMYFUNCTION("if(isblank(A29)=TRUE,0,if(M29=""GBX"",E29*G29/100,IF(M29=""EUR"",E29*G29/GOOGLEFINANCE(""CURRENCY:GBPEUR""),E29*G29/GOOGLEFINANCE(""CURRENCY:GBPUSD""))))"),0.0)</f>
        <v>0</v>
      </c>
      <c r="I29" s="54">
        <f>IFERROR(__xludf.DUMMYFUNCTION("if(isblank(A29)=TRUE,0,if(M29=""GBX"",D29*G29/100,IF(M29=""EUR"",D29*G29/GOOGLEFINANCE(""CURRENCY:GBPEUR""),D29*G29/GOOGLEFINANCE(""CURRENCY:GBPUSD""))))"),0.0)</f>
        <v>0</v>
      </c>
      <c r="J29" s="55">
        <f t="shared" si="1"/>
        <v>0</v>
      </c>
      <c r="K29" s="55" t="str">
        <f t="shared" si="2"/>
        <v>#DIV/0!</v>
      </c>
      <c r="L29" s="56" t="str">
        <f>IFERROR(__xludf.DUMMYFUNCTION("SPARKLINE(GoogleFinance(A29, ""price"", TODAY()-30, TODAY()),{""color"",""blue"";""linewidth"",2})        "),"#N/A")</f>
        <v>#N/A</v>
      </c>
      <c r="M29" s="17" t="str">
        <f>IFERROR(__xludf.DUMMYFUNCTION("GOOGLEFINANCE(A29,""currency"")"),"#N/A")</f>
        <v>#N/A</v>
      </c>
      <c r="N29" s="57" t="str">
        <f t="shared" si="3"/>
        <v>#N/A</v>
      </c>
      <c r="O29" s="58" t="str">
        <f>IFERROR(__xludf.DUMMYFUNCTION("GOOGLEFINANCE(A29,""Change"")"),"#N/A")</f>
        <v>#N/A</v>
      </c>
      <c r="P29" s="59" t="str">
        <f>IFERROR(__xludf.DUMMYFUNCTION("GOOGLEFINANCE(A29,""High"")"),"#N/A")</f>
        <v>#N/A</v>
      </c>
      <c r="Q29" s="59" t="str">
        <f>IFERROR(__xludf.DUMMYFUNCTION("GOOGLEFINANCE(A29,""low"")"),"#N/A")</f>
        <v>#N/A</v>
      </c>
      <c r="R29" s="57" t="str">
        <f>IFERROR(__xludf.DUMMYFUNCTION("abs(P29-Q29)/GOOGLEFINANCE(A29,""closeyest"")"),"#N/A")</f>
        <v>#N/A</v>
      </c>
      <c r="S29" s="60" t="str">
        <f t="shared" si="4"/>
        <v>#N/A</v>
      </c>
      <c r="T29" s="62"/>
      <c r="U29" s="62"/>
      <c r="V29" s="63"/>
      <c r="W29" s="64" t="str">
        <f t="shared" si="5"/>
        <v>DATA UNAVAILABLE</v>
      </c>
      <c r="X29" s="65" t="str">
        <f>IFERROR(__xludf.DUMMYFUNCTION("GOOGLEFINANCE($A29,X$3)"),"#N/A")</f>
        <v>#N/A</v>
      </c>
      <c r="Y29" s="65" t="str">
        <f>IFERROR(__xludf.DUMMYFUNCTION("GOOGLEFINANCE($A29,Y$3)"),"#N/A")</f>
        <v>#N/A</v>
      </c>
      <c r="Z29" s="65" t="str">
        <f>IFERROR(__xludf.DUMMYFUNCTION("GOOGLEFINANCE($A29,Z$3)"),"#N/A")</f>
        <v>#N/A</v>
      </c>
      <c r="AA29" s="65" t="str">
        <f>IFERROR(__xludf.DUMMYFUNCTION("GOOGLEFINANCE($A29,AA$3)"),"#N/A")</f>
        <v>#N/A</v>
      </c>
      <c r="AB29" s="65" t="str">
        <f>IFERROR(__xludf.DUMMYFUNCTION("GOOGLEFINANCE($A29,AB$3)"),"#N/A")</f>
        <v>#N/A</v>
      </c>
      <c r="AC29" s="65" t="str">
        <f>IFERROR(__xludf.DUMMYFUNCTION("GOOGLEFINANCE($A29,AC$3)"),"#N/A")</f>
        <v>#N/A</v>
      </c>
      <c r="AD29" s="65" t="str">
        <f>IFERROR(__xludf.DUMMYFUNCTION("GOOGLEFINANCE($A29,AD$3)"),"#N/A")</f>
        <v>#N/A</v>
      </c>
      <c r="AE29" s="65" t="str">
        <f>IFERROR(__xludf.DUMMYFUNCTION("GOOGLEFINANCE($A29,AE$3)"),"#N/A")</f>
        <v>#N/A</v>
      </c>
      <c r="AF29" s="17"/>
      <c r="AG29" s="17"/>
      <c r="AH29" s="17"/>
      <c r="AI29" s="17"/>
      <c r="AJ29" s="17"/>
      <c r="AK29" s="17"/>
    </row>
    <row r="30">
      <c r="A30" s="47"/>
      <c r="B30" s="48" t="str">
        <f>IFERROR(__xludf.DUMMYFUNCTION("GOOGLEFINANCE(A30,""name"")"),"#N/A")</f>
        <v>#N/A</v>
      </c>
      <c r="C30" s="270"/>
      <c r="D30" s="50" t="str">
        <f>IFERROR(__xludf.DUMMYFUNCTION("GOOGLEFINANCE(A30)"),"#N/A")</f>
        <v>#N/A</v>
      </c>
      <c r="E30" s="67"/>
      <c r="F30" s="52" t="str">
        <f>IFERROR(__xludf.DUMMYFUNCTION("IF(M30=""USD"",E30/GOOGLEFINANCE(""CURRENCY:GBPUSD""),E30)"),"#N/A")</f>
        <v>#N/A</v>
      </c>
      <c r="G30" s="67"/>
      <c r="H30" s="53">
        <f>IFERROR(__xludf.DUMMYFUNCTION("if(isblank(A30)=TRUE,0,if(M30=""GBX"",E30*G30/100,IF(M30=""EUR"",E30*G30/GOOGLEFINANCE(""CURRENCY:GBPEUR""),E30*G30/GOOGLEFINANCE(""CURRENCY:GBPUSD""))))"),0.0)</f>
        <v>0</v>
      </c>
      <c r="I30" s="54">
        <f>IFERROR(__xludf.DUMMYFUNCTION("if(isblank(A30)=TRUE,0,if(M30=""GBX"",D30*G30/100,IF(M30=""EUR"",D30*G30/GOOGLEFINANCE(""CURRENCY:GBPEUR""),D30*G30/GOOGLEFINANCE(""CURRENCY:GBPUSD""))))"),0.0)</f>
        <v>0</v>
      </c>
      <c r="J30" s="55">
        <f t="shared" si="1"/>
        <v>0</v>
      </c>
      <c r="K30" s="55" t="str">
        <f t="shared" si="2"/>
        <v>#DIV/0!</v>
      </c>
      <c r="L30" s="56" t="str">
        <f>IFERROR(__xludf.DUMMYFUNCTION("SPARKLINE(GoogleFinance(A30, ""price"", TODAY()-30, TODAY()),{""color"",""blue"";""linewidth"",2})        "),"#N/A")</f>
        <v>#N/A</v>
      </c>
      <c r="M30" s="17" t="str">
        <f>IFERROR(__xludf.DUMMYFUNCTION("GOOGLEFINANCE(A30,""currency"")"),"#N/A")</f>
        <v>#N/A</v>
      </c>
      <c r="N30" s="57" t="str">
        <f t="shared" si="3"/>
        <v>#N/A</v>
      </c>
      <c r="O30" s="58" t="str">
        <f>IFERROR(__xludf.DUMMYFUNCTION("GOOGLEFINANCE(A30,""Change"")"),"#N/A")</f>
        <v>#N/A</v>
      </c>
      <c r="P30" s="59" t="str">
        <f>IFERROR(__xludf.DUMMYFUNCTION("GOOGLEFINANCE(A30,""High"")"),"#N/A")</f>
        <v>#N/A</v>
      </c>
      <c r="Q30" s="59" t="str">
        <f>IFERROR(__xludf.DUMMYFUNCTION("GOOGLEFINANCE(A30,""low"")"),"#N/A")</f>
        <v>#N/A</v>
      </c>
      <c r="R30" s="57" t="str">
        <f>IFERROR(__xludf.DUMMYFUNCTION("abs(P30-Q30)/GOOGLEFINANCE(A30,""closeyest"")"),"#N/A")</f>
        <v>#N/A</v>
      </c>
      <c r="S30" s="60" t="str">
        <f t="shared" si="4"/>
        <v>#N/A</v>
      </c>
      <c r="T30" s="62"/>
      <c r="U30" s="62"/>
      <c r="V30" s="63"/>
      <c r="W30" s="64" t="str">
        <f t="shared" si="5"/>
        <v>DATA UNAVAILABLE</v>
      </c>
      <c r="X30" s="65" t="str">
        <f>IFERROR(__xludf.DUMMYFUNCTION("GOOGLEFINANCE($A30,X$3)"),"#N/A")</f>
        <v>#N/A</v>
      </c>
      <c r="Y30" s="65" t="str">
        <f>IFERROR(__xludf.DUMMYFUNCTION("GOOGLEFINANCE($A30,Y$3)"),"#N/A")</f>
        <v>#N/A</v>
      </c>
      <c r="Z30" s="65" t="str">
        <f>IFERROR(__xludf.DUMMYFUNCTION("GOOGLEFINANCE($A30,Z$3)"),"#N/A")</f>
        <v>#N/A</v>
      </c>
      <c r="AA30" s="65" t="str">
        <f>IFERROR(__xludf.DUMMYFUNCTION("GOOGLEFINANCE($A30,AA$3)"),"#N/A")</f>
        <v>#N/A</v>
      </c>
      <c r="AB30" s="65" t="str">
        <f>IFERROR(__xludf.DUMMYFUNCTION("GOOGLEFINANCE($A30,AB$3)"),"#N/A")</f>
        <v>#N/A</v>
      </c>
      <c r="AC30" s="65" t="str">
        <f>IFERROR(__xludf.DUMMYFUNCTION("GOOGLEFINANCE($A30,AC$3)"),"#N/A")</f>
        <v>#N/A</v>
      </c>
      <c r="AD30" s="65" t="str">
        <f>IFERROR(__xludf.DUMMYFUNCTION("GOOGLEFINANCE($A30,AD$3)"),"#N/A")</f>
        <v>#N/A</v>
      </c>
      <c r="AE30" s="65" t="str">
        <f>IFERROR(__xludf.DUMMYFUNCTION("GOOGLEFINANCE($A30,AE$3)"),"#N/A")</f>
        <v>#N/A</v>
      </c>
      <c r="AF30" s="17"/>
      <c r="AG30" s="17"/>
      <c r="AH30" s="17"/>
      <c r="AI30" s="17"/>
      <c r="AJ30" s="17"/>
      <c r="AK30" s="17"/>
    </row>
    <row r="31">
      <c r="A31" s="47"/>
      <c r="B31" s="48" t="str">
        <f>IFERROR(__xludf.DUMMYFUNCTION("GOOGLEFINANCE(A31,""name"")"),"#N/A")</f>
        <v>#N/A</v>
      </c>
      <c r="C31" s="270"/>
      <c r="D31" s="50" t="str">
        <f>IFERROR(__xludf.DUMMYFUNCTION("GOOGLEFINANCE(A31)"),"#N/A")</f>
        <v>#N/A</v>
      </c>
      <c r="E31" s="67"/>
      <c r="F31" s="52" t="str">
        <f>IFERROR(__xludf.DUMMYFUNCTION("IF(M31=""USD"",E31/GOOGLEFINANCE(""CURRENCY:GBPUSD""),E31)"),"#N/A")</f>
        <v>#N/A</v>
      </c>
      <c r="G31" s="67"/>
      <c r="H31" s="53">
        <f>IFERROR(__xludf.DUMMYFUNCTION("if(isblank(A31)=TRUE,0,if(M31=""GBX"",E31*G31/100,IF(M31=""EUR"",E31*G31/GOOGLEFINANCE(""CURRENCY:GBPEUR""),E31*G31/GOOGLEFINANCE(""CURRENCY:GBPUSD""))))"),0.0)</f>
        <v>0</v>
      </c>
      <c r="I31" s="54">
        <f>IFERROR(__xludf.DUMMYFUNCTION("if(isblank(A31)=TRUE,0,if(M31=""GBX"",D31*G31/100,IF(M31=""EUR"",D31*G31/GOOGLEFINANCE(""CURRENCY:GBPEUR""),D31*G31/GOOGLEFINANCE(""CURRENCY:GBPUSD""))))"),0.0)</f>
        <v>0</v>
      </c>
      <c r="J31" s="55">
        <f t="shared" si="1"/>
        <v>0</v>
      </c>
      <c r="K31" s="55" t="str">
        <f t="shared" si="2"/>
        <v>#DIV/0!</v>
      </c>
      <c r="L31" s="56" t="str">
        <f>IFERROR(__xludf.DUMMYFUNCTION("SPARKLINE(GoogleFinance(A31, ""price"", TODAY()-30, TODAY()),{""color"",""blue"";""linewidth"",2})        "),"#N/A")</f>
        <v>#N/A</v>
      </c>
      <c r="M31" s="17" t="str">
        <f>IFERROR(__xludf.DUMMYFUNCTION("GOOGLEFINANCE(A31,""currency"")"),"#N/A")</f>
        <v>#N/A</v>
      </c>
      <c r="N31" s="57" t="str">
        <f t="shared" si="3"/>
        <v>#N/A</v>
      </c>
      <c r="O31" s="58" t="str">
        <f>IFERROR(__xludf.DUMMYFUNCTION("GOOGLEFINANCE(A31,""Change"")"),"#N/A")</f>
        <v>#N/A</v>
      </c>
      <c r="P31" s="59" t="str">
        <f>IFERROR(__xludf.DUMMYFUNCTION("GOOGLEFINANCE(A31,""High"")"),"#N/A")</f>
        <v>#N/A</v>
      </c>
      <c r="Q31" s="59" t="str">
        <f>IFERROR(__xludf.DUMMYFUNCTION("GOOGLEFINANCE(A31,""low"")"),"#N/A")</f>
        <v>#N/A</v>
      </c>
      <c r="R31" s="57" t="str">
        <f>IFERROR(__xludf.DUMMYFUNCTION("abs(P31-Q31)/GOOGLEFINANCE(A31,""closeyest"")"),"#N/A")</f>
        <v>#N/A</v>
      </c>
      <c r="S31" s="60" t="str">
        <f t="shared" si="4"/>
        <v>#N/A</v>
      </c>
      <c r="T31" s="62"/>
      <c r="U31" s="62"/>
      <c r="V31" s="63"/>
      <c r="W31" s="64" t="str">
        <f t="shared" si="5"/>
        <v>DATA UNAVAILABLE</v>
      </c>
      <c r="X31" s="65" t="str">
        <f>IFERROR(__xludf.DUMMYFUNCTION("GOOGLEFINANCE($A31,X$3)"),"#N/A")</f>
        <v>#N/A</v>
      </c>
      <c r="Y31" s="65" t="str">
        <f>IFERROR(__xludf.DUMMYFUNCTION("GOOGLEFINANCE($A31,Y$3)"),"#N/A")</f>
        <v>#N/A</v>
      </c>
      <c r="Z31" s="65" t="str">
        <f>IFERROR(__xludf.DUMMYFUNCTION("GOOGLEFINANCE($A31,Z$3)"),"#N/A")</f>
        <v>#N/A</v>
      </c>
      <c r="AA31" s="65" t="str">
        <f>IFERROR(__xludf.DUMMYFUNCTION("GOOGLEFINANCE($A31,AA$3)"),"#N/A")</f>
        <v>#N/A</v>
      </c>
      <c r="AB31" s="65" t="str">
        <f>IFERROR(__xludf.DUMMYFUNCTION("GOOGLEFINANCE($A31,AB$3)"),"#N/A")</f>
        <v>#N/A</v>
      </c>
      <c r="AC31" s="65" t="str">
        <f>IFERROR(__xludf.DUMMYFUNCTION("GOOGLEFINANCE($A31,AC$3)"),"#N/A")</f>
        <v>#N/A</v>
      </c>
      <c r="AD31" s="65" t="str">
        <f>IFERROR(__xludf.DUMMYFUNCTION("GOOGLEFINANCE($A31,AD$3)"),"#N/A")</f>
        <v>#N/A</v>
      </c>
      <c r="AE31" s="65" t="str">
        <f>IFERROR(__xludf.DUMMYFUNCTION("GOOGLEFINANCE($A31,AE$3)"),"#N/A")</f>
        <v>#N/A</v>
      </c>
      <c r="AF31" s="17"/>
      <c r="AG31" s="17"/>
      <c r="AH31" s="17"/>
      <c r="AI31" s="17"/>
      <c r="AJ31" s="17"/>
      <c r="AK31" s="17"/>
    </row>
    <row r="32">
      <c r="A32" s="68" t="s">
        <v>49</v>
      </c>
      <c r="B32" s="69"/>
      <c r="C32" s="70" t="s">
        <v>50</v>
      </c>
      <c r="D32" s="71"/>
      <c r="E32" s="72"/>
      <c r="F32" s="72"/>
      <c r="G32" s="72"/>
      <c r="H32" s="73"/>
      <c r="I32" s="73"/>
      <c r="J32" s="74"/>
      <c r="K32" s="74"/>
      <c r="L32" s="75"/>
      <c r="M32" s="72"/>
      <c r="N32" s="76"/>
      <c r="O32" s="77"/>
      <c r="P32" s="78"/>
      <c r="Q32" s="78"/>
      <c r="R32" s="76"/>
      <c r="S32" s="79"/>
      <c r="T32" s="80"/>
      <c r="U32" s="80"/>
      <c r="V32" s="81"/>
      <c r="W32" s="82"/>
      <c r="X32" s="83"/>
      <c r="Y32" s="83"/>
      <c r="Z32" s="83"/>
      <c r="AA32" s="83"/>
      <c r="AB32" s="83"/>
      <c r="AC32" s="83"/>
      <c r="AD32" s="83"/>
      <c r="AE32" s="83"/>
      <c r="AF32" s="72"/>
      <c r="AG32" s="72"/>
      <c r="AH32" s="72"/>
      <c r="AI32" s="72"/>
      <c r="AJ32" s="72"/>
      <c r="AK32" s="72"/>
      <c r="AL32" s="75"/>
      <c r="AM32" s="75"/>
    </row>
    <row r="33">
      <c r="A33" s="47" t="s">
        <v>55</v>
      </c>
      <c r="B33" s="85" t="str">
        <f>IFERROR(__xludf.DUMMYFUNCTION("GOOGLEFINANCE(A33,""name"")"),"Snap Inc")</f>
        <v>Snap Inc</v>
      </c>
      <c r="C33" s="86"/>
      <c r="D33" s="71">
        <f>IFERROR(__xludf.DUMMYFUNCTION("GOOGLEFINANCE(A33)"),4.75)</f>
        <v>4.75</v>
      </c>
      <c r="E33" s="86"/>
      <c r="F33" s="86"/>
      <c r="G33" s="86"/>
      <c r="H33" s="73"/>
      <c r="I33" s="73"/>
      <c r="J33" s="87"/>
      <c r="K33" s="55" t="str">
        <f t="shared" ref="K33:K55" si="6">(D33-E33)/E33</f>
        <v>#DIV/0!</v>
      </c>
      <c r="L33" s="56" t="str">
        <f>IFERROR(__xludf.DUMMYFUNCTION("SPARKLINE(GoogleFinance(A33, ""price"", TODAY()-30, TODAY()),{""color"",""blue"";""linewidth"",2})        "),"")</f>
        <v/>
      </c>
      <c r="M33" s="17" t="str">
        <f>IFERROR(__xludf.DUMMYFUNCTION("GOOGLEFINANCE(A33,""currency"")"),"USD")</f>
        <v>USD</v>
      </c>
      <c r="N33" s="57">
        <f t="shared" ref="N33:N55" si="7">round(D33/AE33-1,4)</f>
        <v>-0.0166</v>
      </c>
      <c r="O33" s="58">
        <f>IFERROR(__xludf.DUMMYFUNCTION("GOOGLEFINANCE(A33,""Change"")"),-0.09)</f>
        <v>-0.09</v>
      </c>
      <c r="P33" s="59">
        <f>IFERROR(__xludf.DUMMYFUNCTION("GOOGLEFINANCE(A33,""High"")"),4.87)</f>
        <v>4.87</v>
      </c>
      <c r="Q33" s="59">
        <f>IFERROR(__xludf.DUMMYFUNCTION("GOOGLEFINANCE(A33,""low"")"),4.66)</f>
        <v>4.66</v>
      </c>
      <c r="R33" s="57">
        <f>IFERROR(__xludf.DUMMYFUNCTION("abs(P33-Q33)/GOOGLEFINANCE(A33,""closeyest"")"),0.04347826086956521)</f>
        <v>0.04347826087</v>
      </c>
      <c r="S33" s="60">
        <f t="shared" ref="S33:S55" si="8">D33/Y33-1</f>
        <v>0.01931330472</v>
      </c>
      <c r="T33" s="61">
        <v>15.0</v>
      </c>
      <c r="U33" s="61">
        <v>50.0</v>
      </c>
      <c r="V33" s="63"/>
      <c r="W33" s="64" t="str">
        <f t="shared" ref="W33:W55" si="9">IF(ISERROR(if(or(AND(Q33&lt;=T33,T33&lt;=P33),AND(Q33&lt;=U33, U33&lt;=P33)),"TRADE ALERT","")),"DATA UNAVAILABLE",if(or(AND(Q33&lt;=T33,T33&lt;=P33),T33&gt;P33,AND(Q33&lt;=U33, U33&lt;=P33)),"TRADE ALERT"&amp;" - Price level hit for "&amp;A33&amp;" currently at "&amp;D33&amp;" "&amp;B33,""))</f>
        <v>TRADE ALERT - Price level hit for SNAP currently at 4.75 Snap Inc</v>
      </c>
      <c r="X33" s="65">
        <f>IFERROR(__xludf.DUMMYFUNCTION("GOOGLEFINANCE($A33,X$3)"),0.83)</f>
        <v>0.83</v>
      </c>
      <c r="Y33" s="65">
        <f>IFERROR(__xludf.DUMMYFUNCTION("GOOGLEFINANCE($A33,Y$3)"),4.66)</f>
        <v>4.66</v>
      </c>
      <c r="Z33" s="65">
        <f>IFERROR(__xludf.DUMMYFUNCTION("GOOGLEFINANCE($A33,Z$3)"),11.05)</f>
        <v>11.05</v>
      </c>
      <c r="AA33" s="65" t="str">
        <f>IFERROR(__xludf.DUMMYFUNCTION("GOOGLEFINANCE($A33,AA$3)"),"#N/A")</f>
        <v>#N/A</v>
      </c>
      <c r="AB33" s="65" t="str">
        <f>IFERROR(__xludf.DUMMYFUNCTION("GOOGLEFINANCE($A33,AB$3)"),"#N/A")</f>
        <v>#N/A</v>
      </c>
      <c r="AC33" s="65">
        <f>IFERROR(__xludf.DUMMYFUNCTION("GOOGLEFINANCE($A33,AC$3)"),0.0)</f>
        <v>0</v>
      </c>
      <c r="AD33" s="65">
        <f>IFERROR(__xludf.DUMMYFUNCTION("GOOGLEFINANCE($A33,AD$3)"),8.014072301E9)</f>
        <v>8014072301</v>
      </c>
      <c r="AE33" s="65">
        <f>IFERROR(__xludf.DUMMYFUNCTION("GOOGLEFINANCE($A33,AE$3)"),4.83)</f>
        <v>4.83</v>
      </c>
      <c r="AF33" s="17"/>
      <c r="AG33" s="17"/>
      <c r="AH33" s="17"/>
      <c r="AI33" s="17"/>
      <c r="AJ33" s="17"/>
      <c r="AK33" s="17"/>
    </row>
    <row r="34">
      <c r="A34" s="47" t="s">
        <v>99</v>
      </c>
      <c r="B34" s="85" t="str">
        <f>IFERROR(__xludf.DUMMYFUNCTION("GOOGLEFINANCE(A34,""name"")"),"#N/A")</f>
        <v>#N/A</v>
      </c>
      <c r="C34" s="86"/>
      <c r="D34" s="71" t="str">
        <f>IFERROR(__xludf.DUMMYFUNCTION("GOOGLEFINANCE(A34)"),"#N/A")</f>
        <v>#N/A</v>
      </c>
      <c r="E34" s="86"/>
      <c r="F34" s="86"/>
      <c r="G34" s="86"/>
      <c r="H34" s="73"/>
      <c r="I34" s="73"/>
      <c r="J34" s="87"/>
      <c r="K34" s="55" t="str">
        <f t="shared" si="6"/>
        <v>#N/A</v>
      </c>
      <c r="L34" s="56" t="str">
        <f>IFERROR(__xludf.DUMMYFUNCTION("SPARKLINE(GoogleFinance(A34, ""price"", TODAY()-30, TODAY()),{""color"",""blue"";""linewidth"",2})        "),"#N/A")</f>
        <v>#N/A</v>
      </c>
      <c r="M34" s="17" t="str">
        <f>IFERROR(__xludf.DUMMYFUNCTION("GOOGLEFINANCE(A34,""currency"")"),"#N/A")</f>
        <v>#N/A</v>
      </c>
      <c r="N34" s="57" t="str">
        <f t="shared" si="7"/>
        <v>#N/A</v>
      </c>
      <c r="O34" s="58" t="str">
        <f>IFERROR(__xludf.DUMMYFUNCTION("GOOGLEFINANCE(A34,""Change"")"),"#N/A")</f>
        <v>#N/A</v>
      </c>
      <c r="P34" s="59" t="str">
        <f>IFERROR(__xludf.DUMMYFUNCTION("GOOGLEFINANCE(A34,""High"")"),"#N/A")</f>
        <v>#N/A</v>
      </c>
      <c r="Q34" s="59" t="str">
        <f>IFERROR(__xludf.DUMMYFUNCTION("GOOGLEFINANCE(A34,""low"")"),"#N/A")</f>
        <v>#N/A</v>
      </c>
      <c r="R34" s="57" t="str">
        <f>IFERROR(__xludf.DUMMYFUNCTION("abs(P34-Q34)/GOOGLEFINANCE(A34,""closeyest"")"),"#N/A")</f>
        <v>#N/A</v>
      </c>
      <c r="S34" s="60" t="str">
        <f t="shared" si="8"/>
        <v>#N/A</v>
      </c>
      <c r="T34" s="61">
        <v>1.5</v>
      </c>
      <c r="U34" s="61"/>
      <c r="V34" s="63"/>
      <c r="W34" s="64" t="str">
        <f t="shared" si="9"/>
        <v>DATA UNAVAILABLE</v>
      </c>
      <c r="X34" s="65" t="str">
        <f>IFERROR(__xludf.DUMMYFUNCTION("GOOGLEFINANCE($A34,X$3)"),"#N/A")</f>
        <v>#N/A</v>
      </c>
      <c r="Y34" s="65" t="str">
        <f>IFERROR(__xludf.DUMMYFUNCTION("GOOGLEFINANCE($A34,Y$3)"),"#N/A")</f>
        <v>#N/A</v>
      </c>
      <c r="Z34" s="65" t="str">
        <f>IFERROR(__xludf.DUMMYFUNCTION("GOOGLEFINANCE($A34,Z$3)"),"#N/A")</f>
        <v>#N/A</v>
      </c>
      <c r="AA34" s="65" t="str">
        <f>IFERROR(__xludf.DUMMYFUNCTION("GOOGLEFINANCE($A34,AA$3)"),"#N/A")</f>
        <v>#N/A</v>
      </c>
      <c r="AB34" s="65" t="str">
        <f>IFERROR(__xludf.DUMMYFUNCTION("GOOGLEFINANCE($A34,AB$3)"),"#N/A")</f>
        <v>#N/A</v>
      </c>
      <c r="AC34" s="65" t="str">
        <f>IFERROR(__xludf.DUMMYFUNCTION("GOOGLEFINANCE($A34,AC$3)"),"#N/A")</f>
        <v>#N/A</v>
      </c>
      <c r="AD34" s="65" t="str">
        <f>IFERROR(__xludf.DUMMYFUNCTION("GOOGLEFINANCE($A34,AD$3)"),"#N/A")</f>
        <v>#N/A</v>
      </c>
      <c r="AE34" s="65" t="str">
        <f>IFERROR(__xludf.DUMMYFUNCTION("GOOGLEFINANCE($A34,AE$3)"),"#N/A")</f>
        <v>#N/A</v>
      </c>
      <c r="AF34" s="17"/>
      <c r="AG34" s="17"/>
      <c r="AH34" s="17"/>
      <c r="AI34" s="17"/>
      <c r="AJ34" s="17"/>
      <c r="AK34" s="17"/>
    </row>
    <row r="35">
      <c r="A35" s="47" t="s">
        <v>100</v>
      </c>
      <c r="B35" s="85" t="str">
        <f>IFERROR(__xludf.DUMMYFUNCTION("GOOGLEFINANCE(A35,""name"")"),"#N/A")</f>
        <v>#N/A</v>
      </c>
      <c r="C35" s="86"/>
      <c r="D35" s="71" t="str">
        <f>IFERROR(__xludf.DUMMYFUNCTION("GOOGLEFINANCE(A35)"),"#N/A")</f>
        <v>#N/A</v>
      </c>
      <c r="E35" s="86"/>
      <c r="F35" s="86"/>
      <c r="G35" s="86"/>
      <c r="H35" s="73"/>
      <c r="I35" s="73"/>
      <c r="J35" s="87"/>
      <c r="K35" s="55" t="str">
        <f t="shared" si="6"/>
        <v>#N/A</v>
      </c>
      <c r="L35" s="56" t="str">
        <f>IFERROR(__xludf.DUMMYFUNCTION("SPARKLINE(GoogleFinance(A35, ""price"", TODAY()-30, TODAY()),{""color"",""blue"";""linewidth"",2})        "),"#N/A")</f>
        <v>#N/A</v>
      </c>
      <c r="M35" s="17" t="str">
        <f>IFERROR(__xludf.DUMMYFUNCTION("GOOGLEFINANCE(A35,""currency"")"),"#N/A")</f>
        <v>#N/A</v>
      </c>
      <c r="N35" s="57" t="str">
        <f t="shared" si="7"/>
        <v>#N/A</v>
      </c>
      <c r="O35" s="58" t="str">
        <f>IFERROR(__xludf.DUMMYFUNCTION("GOOGLEFINANCE(A35,""Change"")"),"#N/A")</f>
        <v>#N/A</v>
      </c>
      <c r="P35" s="59" t="str">
        <f>IFERROR(__xludf.DUMMYFUNCTION("GOOGLEFINANCE(A35,""High"")"),"#N/A")</f>
        <v>#N/A</v>
      </c>
      <c r="Q35" s="59" t="str">
        <f>IFERROR(__xludf.DUMMYFUNCTION("GOOGLEFINANCE(A35,""low"")"),"#N/A")</f>
        <v>#N/A</v>
      </c>
      <c r="R35" s="57" t="str">
        <f>IFERROR(__xludf.DUMMYFUNCTION("abs(P35-Q35)/GOOGLEFINANCE(A35,""closeyest"")"),"#N/A")</f>
        <v>#N/A</v>
      </c>
      <c r="S35" s="60" t="str">
        <f t="shared" si="8"/>
        <v>#N/A</v>
      </c>
      <c r="T35" s="61">
        <v>105.0</v>
      </c>
      <c r="U35" s="61"/>
      <c r="V35" s="63"/>
      <c r="W35" s="64" t="str">
        <f t="shared" si="9"/>
        <v>DATA UNAVAILABLE</v>
      </c>
      <c r="X35" s="65" t="str">
        <f>IFERROR(__xludf.DUMMYFUNCTION("GOOGLEFINANCE($A35,X$3)"),"#N/A")</f>
        <v>#N/A</v>
      </c>
      <c r="Y35" s="65" t="str">
        <f>IFERROR(__xludf.DUMMYFUNCTION("GOOGLEFINANCE($A35,Y$3)"),"#N/A")</f>
        <v>#N/A</v>
      </c>
      <c r="Z35" s="65" t="str">
        <f>IFERROR(__xludf.DUMMYFUNCTION("GOOGLEFINANCE($A35,Z$3)"),"#N/A")</f>
        <v>#N/A</v>
      </c>
      <c r="AA35" s="65" t="str">
        <f>IFERROR(__xludf.DUMMYFUNCTION("GOOGLEFINANCE($A35,AA$3)"),"#N/A")</f>
        <v>#N/A</v>
      </c>
      <c r="AB35" s="65" t="str">
        <f>IFERROR(__xludf.DUMMYFUNCTION("GOOGLEFINANCE($A35,AB$3)"),"#N/A")</f>
        <v>#N/A</v>
      </c>
      <c r="AC35" s="65" t="str">
        <f>IFERROR(__xludf.DUMMYFUNCTION("GOOGLEFINANCE($A35,AC$3)"),"#N/A")</f>
        <v>#N/A</v>
      </c>
      <c r="AD35" s="65" t="str">
        <f>IFERROR(__xludf.DUMMYFUNCTION("GOOGLEFINANCE($A35,AD$3)"),"#N/A")</f>
        <v>#N/A</v>
      </c>
      <c r="AE35" s="65" t="str">
        <f>IFERROR(__xludf.DUMMYFUNCTION("GOOGLEFINANCE($A35,AE$3)"),"#N/A")</f>
        <v>#N/A</v>
      </c>
      <c r="AF35" s="17"/>
      <c r="AG35" s="17"/>
      <c r="AH35" s="17"/>
      <c r="AI35" s="17"/>
      <c r="AJ35" s="17"/>
      <c r="AK35" s="17"/>
    </row>
    <row r="36">
      <c r="A36" s="47" t="s">
        <v>97</v>
      </c>
      <c r="B36" s="85" t="str">
        <f>IFERROR(__xludf.DUMMYFUNCTION("GOOGLEFINANCE(A36,""name"")"),"Manchester United PLC")</f>
        <v>Manchester United PLC</v>
      </c>
      <c r="C36" s="86"/>
      <c r="D36" s="71">
        <f>IFERROR(__xludf.DUMMYFUNCTION("GOOGLEFINANCE(A36)"),17.75)</f>
        <v>17.75</v>
      </c>
      <c r="E36" s="86"/>
      <c r="F36" s="86"/>
      <c r="G36" s="86"/>
      <c r="H36" s="73"/>
      <c r="I36" s="73"/>
      <c r="J36" s="87"/>
      <c r="K36" s="55" t="str">
        <f t="shared" si="6"/>
        <v>#DIV/0!</v>
      </c>
      <c r="L36" s="56" t="str">
        <f>IFERROR(__xludf.DUMMYFUNCTION("SPARKLINE(GoogleFinance(A36, ""price"", TODAY()-30, TODAY()),{""color"",""blue"";""linewidth"",2})        "),"")</f>
        <v/>
      </c>
      <c r="M36" s="17" t="str">
        <f>IFERROR(__xludf.DUMMYFUNCTION("GOOGLEFINANCE(A36,""currency"")"),"USD")</f>
        <v>USD</v>
      </c>
      <c r="N36" s="57">
        <f t="shared" si="7"/>
        <v>0.0178</v>
      </c>
      <c r="O36" s="58">
        <f>IFERROR(__xludf.DUMMYFUNCTION("GOOGLEFINANCE(A36,""Change"")"),0.31)</f>
        <v>0.31</v>
      </c>
      <c r="P36" s="59">
        <f>IFERROR(__xludf.DUMMYFUNCTION("GOOGLEFINANCE(A36,""High"")"),17.75)</f>
        <v>17.75</v>
      </c>
      <c r="Q36" s="59">
        <f>IFERROR(__xludf.DUMMYFUNCTION("GOOGLEFINANCE(A36,""low"")"),17.34)</f>
        <v>17.34</v>
      </c>
      <c r="R36" s="57">
        <f>IFERROR(__xludf.DUMMYFUNCTION("abs(P36-Q36)/GOOGLEFINANCE(A36,""closeyest"")"),0.02350917431192661)</f>
        <v>0.02350917431</v>
      </c>
      <c r="S36" s="60">
        <f t="shared" si="8"/>
        <v>0.4730290456</v>
      </c>
      <c r="T36" s="61">
        <v>15.0</v>
      </c>
      <c r="U36" s="61"/>
      <c r="V36" s="63"/>
      <c r="W36" s="64" t="str">
        <f t="shared" si="9"/>
        <v/>
      </c>
      <c r="X36" s="65">
        <f>IFERROR(__xludf.DUMMYFUNCTION("GOOGLEFINANCE($A36,X$3)"),0.54)</f>
        <v>0.54</v>
      </c>
      <c r="Y36" s="65">
        <f>IFERROR(__xludf.DUMMYFUNCTION("GOOGLEFINANCE($A36,Y$3)"),12.05)</f>
        <v>12.05</v>
      </c>
      <c r="Z36" s="65">
        <f>IFERROR(__xludf.DUMMYFUNCTION("GOOGLEFINANCE($A36,Z$3)"),19.65)</f>
        <v>19.65</v>
      </c>
      <c r="AA36" s="65" t="str">
        <f>IFERROR(__xludf.DUMMYFUNCTION("GOOGLEFINANCE($A36,AA$3)"),"#N/A")</f>
        <v>#N/A</v>
      </c>
      <c r="AB36" s="65" t="str">
        <f>IFERROR(__xludf.DUMMYFUNCTION("GOOGLEFINANCE($A36,AB$3)"),"#N/A")</f>
        <v>#N/A</v>
      </c>
      <c r="AC36" s="65">
        <f>IFERROR(__xludf.DUMMYFUNCTION("GOOGLEFINANCE($A36,AC$3)"),0.0)</f>
        <v>0</v>
      </c>
      <c r="AD36" s="65">
        <f>IFERROR(__xludf.DUMMYFUNCTION("GOOGLEFINANCE($A36,AD$3)"),3.055579075E9)</f>
        <v>3055579075</v>
      </c>
      <c r="AE36" s="65">
        <f>IFERROR(__xludf.DUMMYFUNCTION("GOOGLEFINANCE($A36,AE$3)"),17.44)</f>
        <v>17.44</v>
      </c>
      <c r="AF36" s="17"/>
      <c r="AG36" s="17"/>
      <c r="AH36" s="17"/>
      <c r="AI36" s="17"/>
      <c r="AJ36" s="17"/>
      <c r="AK36" s="17"/>
    </row>
    <row r="37">
      <c r="A37" s="47" t="s">
        <v>101</v>
      </c>
      <c r="B37" s="85" t="str">
        <f>IFERROR(__xludf.DUMMYFUNCTION("GOOGLEFINANCE(A37,""name"")"),"Telecom Italia SpA")</f>
        <v>Telecom Italia SpA</v>
      </c>
      <c r="C37" s="86"/>
      <c r="D37" s="71">
        <f>IFERROR(__xludf.DUMMYFUNCTION("GOOGLEFINANCE(A37)"),0.66)</f>
        <v>0.66</v>
      </c>
      <c r="E37" s="86"/>
      <c r="F37" s="86"/>
      <c r="G37" s="86"/>
      <c r="H37" s="73"/>
      <c r="I37" s="73"/>
      <c r="J37" s="87"/>
      <c r="K37" s="55" t="str">
        <f t="shared" si="6"/>
        <v>#DIV/0!</v>
      </c>
      <c r="L37" s="56" t="str">
        <f>IFERROR(__xludf.DUMMYFUNCTION("SPARKLINE(GoogleFinance(A37, ""price"", TODAY()-30, TODAY()),{""color"",""blue"";""linewidth"",2})        "),"")</f>
        <v/>
      </c>
      <c r="M37" s="17" t="str">
        <f>IFERROR(__xludf.DUMMYFUNCTION("GOOGLEFINANCE(A37,""currency"")"),"EUR")</f>
        <v>EUR</v>
      </c>
      <c r="N37" s="57">
        <f t="shared" si="7"/>
        <v>0.0313</v>
      </c>
      <c r="O37" s="58">
        <f>IFERROR(__xludf.DUMMYFUNCTION("GOOGLEFINANCE(A37,""Change"")"),0.02)</f>
        <v>0.02</v>
      </c>
      <c r="P37" s="59">
        <f>IFERROR(__xludf.DUMMYFUNCTION("GOOGLEFINANCE(A37,""High"")"),0.66)</f>
        <v>0.66</v>
      </c>
      <c r="Q37" s="59">
        <f>IFERROR(__xludf.DUMMYFUNCTION("GOOGLEFINANCE(A37,""low"")"),0.64)</f>
        <v>0.64</v>
      </c>
      <c r="R37" s="57">
        <f>IFERROR(__xludf.DUMMYFUNCTION("abs(P37-Q37)/GOOGLEFINANCE(A37,""closeyest"")"),0.03125000000000003)</f>
        <v>0.03125</v>
      </c>
      <c r="S37" s="60">
        <f t="shared" si="8"/>
        <v>1.64</v>
      </c>
      <c r="T37" s="61">
        <v>0.35</v>
      </c>
      <c r="U37" s="61"/>
      <c r="V37" s="63"/>
      <c r="W37" s="64" t="str">
        <f t="shared" si="9"/>
        <v/>
      </c>
      <c r="X37" s="65" t="str">
        <f>IFERROR(__xludf.DUMMYFUNCTION("GOOGLEFINANCE($A37,X$3)"),"#N/A")</f>
        <v>#N/A</v>
      </c>
      <c r="Y37" s="65">
        <f>IFERROR(__xludf.DUMMYFUNCTION("GOOGLEFINANCE($A37,Y$3)"),0.25)</f>
        <v>0.25</v>
      </c>
      <c r="Z37" s="65">
        <f>IFERROR(__xludf.DUMMYFUNCTION("GOOGLEFINANCE($A37,Z$3)"),0.66)</f>
        <v>0.66</v>
      </c>
      <c r="AA37" s="65" t="str">
        <f>IFERROR(__xludf.DUMMYFUNCTION("GOOGLEFINANCE($A37,AA$3)"),"#N/A")</f>
        <v>#N/A</v>
      </c>
      <c r="AB37" s="65" t="str">
        <f>IFERROR(__xludf.DUMMYFUNCTION("GOOGLEFINANCE($A37,AB$3)"),"#N/A")</f>
        <v>#N/A</v>
      </c>
      <c r="AC37" s="65">
        <f>IFERROR(__xludf.DUMMYFUNCTION("GOOGLEFINANCE($A37,AC$3)"),0.0)</f>
        <v>0</v>
      </c>
      <c r="AD37" s="65">
        <f>IFERROR(__xludf.DUMMYFUNCTION("GOOGLEFINANCE($A37,AD$3)"),1.7066289426E10)</f>
        <v>17066289426</v>
      </c>
      <c r="AE37" s="65">
        <f>IFERROR(__xludf.DUMMYFUNCTION("GOOGLEFINANCE($A37,AE$3)"),0.64)</f>
        <v>0.64</v>
      </c>
      <c r="AF37" s="17"/>
      <c r="AG37" s="17"/>
      <c r="AH37" s="17"/>
      <c r="AI37" s="17"/>
      <c r="AJ37" s="17"/>
      <c r="AK37" s="17"/>
    </row>
    <row r="38">
      <c r="A38" s="47" t="s">
        <v>102</v>
      </c>
      <c r="B38" s="85" t="str">
        <f>IFERROR(__xludf.DUMMYFUNCTION("GOOGLEFINANCE(A38,""name"")"),"Omai Gold Mines Corp")</f>
        <v>Omai Gold Mines Corp</v>
      </c>
      <c r="C38" s="88"/>
      <c r="D38" s="71">
        <f>IFERROR(__xludf.DUMMYFUNCTION("GOOGLEFINANCE(A38)"),1.99)</f>
        <v>1.99</v>
      </c>
      <c r="E38" s="86"/>
      <c r="F38" s="86"/>
      <c r="G38" s="86"/>
      <c r="H38" s="73"/>
      <c r="I38" s="73"/>
      <c r="J38" s="87"/>
      <c r="K38" s="55" t="str">
        <f t="shared" si="6"/>
        <v>#DIV/0!</v>
      </c>
      <c r="L38" s="56" t="str">
        <f>IFERROR(__xludf.DUMMYFUNCTION("SPARKLINE(GoogleFinance(A38, ""price"", TODAY()-30, TODAY()),{""color"",""blue"";""linewidth"",2})        "),"")</f>
        <v/>
      </c>
      <c r="M38" s="17" t="str">
        <f>IFERROR(__xludf.DUMMYFUNCTION("GOOGLEFINANCE(A38,""currency"")"),"CAD")</f>
        <v>CAD</v>
      </c>
      <c r="N38" s="57">
        <f t="shared" si="7"/>
        <v>-0.0293</v>
      </c>
      <c r="O38" s="58">
        <f>IFERROR(__xludf.DUMMYFUNCTION("GOOGLEFINANCE(A38,""Change"")"),-0.06)</f>
        <v>-0.06</v>
      </c>
      <c r="P38" s="59">
        <f>IFERROR(__xludf.DUMMYFUNCTION("GOOGLEFINANCE(A38,""High"")"),2.06)</f>
        <v>2.06</v>
      </c>
      <c r="Q38" s="59">
        <f>IFERROR(__xludf.DUMMYFUNCTION("GOOGLEFINANCE(A38,""low"")"),1.91)</f>
        <v>1.91</v>
      </c>
      <c r="R38" s="57">
        <f>IFERROR(__xludf.DUMMYFUNCTION("abs(P38-Q38)/GOOGLEFINANCE(A38,""closeyest"")"),0.07317073170731714)</f>
        <v>0.07317073171</v>
      </c>
      <c r="S38" s="60">
        <f t="shared" si="8"/>
        <v>5.419354839</v>
      </c>
      <c r="T38" s="61">
        <v>80.0</v>
      </c>
      <c r="U38" s="61"/>
      <c r="V38" s="63"/>
      <c r="W38" s="64" t="str">
        <f t="shared" si="9"/>
        <v>TRADE ALERT - Price level hit for OMG currently at 1.99 Omai Gold Mines Corp</v>
      </c>
      <c r="X38" s="65">
        <f>IFERROR(__xludf.DUMMYFUNCTION("GOOGLEFINANCE($A38,X$3)"),1.71)</f>
        <v>1.71</v>
      </c>
      <c r="Y38" s="65">
        <f>IFERROR(__xludf.DUMMYFUNCTION("GOOGLEFINANCE($A38,Y$3)"),0.31)</f>
        <v>0.31</v>
      </c>
      <c r="Z38" s="65">
        <f>IFERROR(__xludf.DUMMYFUNCTION("GOOGLEFINANCE($A38,Z$3)"),2.18)</f>
        <v>2.18</v>
      </c>
      <c r="AA38" s="65" t="str">
        <f>IFERROR(__xludf.DUMMYFUNCTION("GOOGLEFINANCE($A38,AA$3)"),"#N/A")</f>
        <v>#N/A</v>
      </c>
      <c r="AB38" s="65" t="str">
        <f>IFERROR(__xludf.DUMMYFUNCTION("GOOGLEFINANCE($A38,AB$3)"),"#N/A")</f>
        <v>#N/A</v>
      </c>
      <c r="AC38" s="65">
        <f>IFERROR(__xludf.DUMMYFUNCTION("GOOGLEFINANCE($A38,AC$3)"),15.0)</f>
        <v>15</v>
      </c>
      <c r="AD38" s="65">
        <f>IFERROR(__xludf.DUMMYFUNCTION("GOOGLEFINANCE($A38,AD$3)"),1.340140631E9)</f>
        <v>1340140631</v>
      </c>
      <c r="AE38" s="65">
        <f>IFERROR(__xludf.DUMMYFUNCTION("GOOGLEFINANCE($A38,AE$3)"),2.05)</f>
        <v>2.05</v>
      </c>
      <c r="AF38" s="17"/>
      <c r="AG38" s="17"/>
      <c r="AH38" s="17"/>
      <c r="AI38" s="17"/>
      <c r="AJ38" s="17"/>
      <c r="AK38" s="17"/>
    </row>
    <row r="39">
      <c r="A39" s="47" t="s">
        <v>103</v>
      </c>
      <c r="B39" s="85" t="str">
        <f>IFERROR(__xludf.DUMMYFUNCTION("GOOGLEFINANCE(A39,""name"")"),"#N/A")</f>
        <v>#N/A</v>
      </c>
      <c r="C39" s="86"/>
      <c r="D39" s="71" t="str">
        <f>IFERROR(__xludf.DUMMYFUNCTION("GOOGLEFINANCE(A39)"),"#N/A")</f>
        <v>#N/A</v>
      </c>
      <c r="E39" s="86"/>
      <c r="F39" s="86"/>
      <c r="G39" s="86"/>
      <c r="H39" s="73"/>
      <c r="I39" s="73"/>
      <c r="J39" s="87"/>
      <c r="K39" s="55" t="str">
        <f t="shared" si="6"/>
        <v>#N/A</v>
      </c>
      <c r="L39" s="56" t="str">
        <f>IFERROR(__xludf.DUMMYFUNCTION("SPARKLINE(GoogleFinance(A39, ""price"", TODAY()-30, TODAY()),{""color"",""blue"";""linewidth"",2})        "),"#N/A")</f>
        <v>#N/A</v>
      </c>
      <c r="M39" s="17" t="str">
        <f>IFERROR(__xludf.DUMMYFUNCTION("GOOGLEFINANCE(A39,""currency"")"),"#N/A")</f>
        <v>#N/A</v>
      </c>
      <c r="N39" s="57" t="str">
        <f t="shared" si="7"/>
        <v>#N/A</v>
      </c>
      <c r="O39" s="58" t="str">
        <f>IFERROR(__xludf.DUMMYFUNCTION("GOOGLEFINANCE(A39,""Change"")"),"#N/A")</f>
        <v>#N/A</v>
      </c>
      <c r="P39" s="59" t="str">
        <f>IFERROR(__xludf.DUMMYFUNCTION("GOOGLEFINANCE(A39,""High"")"),"#N/A")</f>
        <v>#N/A</v>
      </c>
      <c r="Q39" s="59" t="str">
        <f>IFERROR(__xludf.DUMMYFUNCTION("GOOGLEFINANCE(A39,""low"")"),"#N/A")</f>
        <v>#N/A</v>
      </c>
      <c r="R39" s="57" t="str">
        <f>IFERROR(__xludf.DUMMYFUNCTION("abs(P39-Q39)/GOOGLEFINANCE(A39,""closeyest"")"),"#N/A")</f>
        <v>#N/A</v>
      </c>
      <c r="S39" s="60" t="str">
        <f t="shared" si="8"/>
        <v>#N/A</v>
      </c>
      <c r="T39" s="61">
        <v>2.5</v>
      </c>
      <c r="U39" s="61"/>
      <c r="V39" s="63"/>
      <c r="W39" s="64" t="str">
        <f t="shared" si="9"/>
        <v>DATA UNAVAILABLE</v>
      </c>
      <c r="X39" s="65" t="str">
        <f>IFERROR(__xludf.DUMMYFUNCTION("GOOGLEFINANCE($A39,X$3)"),"#N/A")</f>
        <v>#N/A</v>
      </c>
      <c r="Y39" s="65" t="str">
        <f>IFERROR(__xludf.DUMMYFUNCTION("GOOGLEFINANCE($A39,Y$3)"),"#N/A")</f>
        <v>#N/A</v>
      </c>
      <c r="Z39" s="65" t="str">
        <f>IFERROR(__xludf.DUMMYFUNCTION("GOOGLEFINANCE($A39,Z$3)"),"#N/A")</f>
        <v>#N/A</v>
      </c>
      <c r="AA39" s="65" t="str">
        <f>IFERROR(__xludf.DUMMYFUNCTION("GOOGLEFINANCE($A39,AA$3)"),"#N/A")</f>
        <v>#N/A</v>
      </c>
      <c r="AB39" s="65" t="str">
        <f>IFERROR(__xludf.DUMMYFUNCTION("GOOGLEFINANCE($A39,AB$3)"),"#N/A")</f>
        <v>#N/A</v>
      </c>
      <c r="AC39" s="65" t="str">
        <f>IFERROR(__xludf.DUMMYFUNCTION("GOOGLEFINANCE($A39,AC$3)"),"#N/A")</f>
        <v>#N/A</v>
      </c>
      <c r="AD39" s="65" t="str">
        <f>IFERROR(__xludf.DUMMYFUNCTION("GOOGLEFINANCE($A39,AD$3)"),"#N/A")</f>
        <v>#N/A</v>
      </c>
      <c r="AE39" s="65" t="str">
        <f>IFERROR(__xludf.DUMMYFUNCTION("GOOGLEFINANCE($A39,AE$3)"),"#N/A")</f>
        <v>#N/A</v>
      </c>
      <c r="AF39" s="17"/>
      <c r="AG39" s="17"/>
      <c r="AH39" s="17"/>
      <c r="AI39" s="17"/>
      <c r="AJ39" s="17"/>
      <c r="AK39" s="17"/>
    </row>
    <row r="40">
      <c r="A40" s="47" t="s">
        <v>104</v>
      </c>
      <c r="B40" s="85" t="str">
        <f>IFERROR(__xludf.DUMMYFUNCTION("GOOGLEFINANCE(A40,""name"")"),"Callon Petroleum Ord Shs")</f>
        <v>Callon Petroleum Ord Shs</v>
      </c>
      <c r="C40" s="86"/>
      <c r="D40" s="71">
        <f>IFERROR(__xludf.DUMMYFUNCTION("GOOGLEFINANCE(A40)"),0.0)</f>
        <v>0</v>
      </c>
      <c r="E40" s="86"/>
      <c r="F40" s="86"/>
      <c r="G40" s="86"/>
      <c r="H40" s="73"/>
      <c r="I40" s="73"/>
      <c r="J40" s="87"/>
      <c r="K40" s="55" t="str">
        <f t="shared" si="6"/>
        <v>#DIV/0!</v>
      </c>
      <c r="L40" s="56" t="str">
        <f>IFERROR(__xludf.DUMMYFUNCTION("SPARKLINE(GoogleFinance(A40, ""price"", TODAY()-30, TODAY()),{""color"",""blue"";""linewidth"",2})        "),"#N/A")</f>
        <v>#N/A</v>
      </c>
      <c r="M40" s="17" t="str">
        <f>IFERROR(__xludf.DUMMYFUNCTION("GOOGLEFINANCE(A40,""currency"")"),"MXN")</f>
        <v>MXN</v>
      </c>
      <c r="N40" s="57">
        <f t="shared" si="7"/>
        <v>-1</v>
      </c>
      <c r="O40" s="58">
        <f>IFERROR(__xludf.DUMMYFUNCTION("GOOGLEFINANCE(A40,""Change"")"),-557.0)</f>
        <v>-557</v>
      </c>
      <c r="P40" s="59" t="str">
        <f>IFERROR(__xludf.DUMMYFUNCTION("GOOGLEFINANCE(A40,""High"")"),"#N/A")</f>
        <v>#N/A</v>
      </c>
      <c r="Q40" s="59" t="str">
        <f>IFERROR(__xludf.DUMMYFUNCTION("GOOGLEFINANCE(A40,""low"")"),"#N/A")</f>
        <v>#N/A</v>
      </c>
      <c r="R40" s="57" t="str">
        <f>IFERROR(__xludf.DUMMYFUNCTION("abs(P40-Q40)/GOOGLEFINANCE(A40,""closeyest"")"),"#N/A")</f>
        <v>#N/A</v>
      </c>
      <c r="S40" s="60">
        <f t="shared" si="8"/>
        <v>-1</v>
      </c>
      <c r="T40" s="61">
        <v>1.0</v>
      </c>
      <c r="U40" s="61"/>
      <c r="V40" s="63"/>
      <c r="W40" s="64" t="str">
        <f t="shared" si="9"/>
        <v>DATA UNAVAILABLE</v>
      </c>
      <c r="X40" s="65" t="str">
        <f>IFERROR(__xludf.DUMMYFUNCTION("GOOGLEFINANCE($A40,X$3)"),"#N/A")</f>
        <v>#N/A</v>
      </c>
      <c r="Y40" s="65">
        <f>IFERROR(__xludf.DUMMYFUNCTION("GOOGLEFINANCE($A40,Y$3)"),557.0)</f>
        <v>557</v>
      </c>
      <c r="Z40" s="65">
        <f>IFERROR(__xludf.DUMMYFUNCTION("GOOGLEFINANCE($A40,Z$3)"),557.0)</f>
        <v>557</v>
      </c>
      <c r="AA40" s="65" t="str">
        <f>IFERROR(__xludf.DUMMYFUNCTION("GOOGLEFINANCE($A40,AA$3)"),"#N/A")</f>
        <v>#N/A</v>
      </c>
      <c r="AB40" s="65" t="str">
        <f>IFERROR(__xludf.DUMMYFUNCTION("GOOGLEFINANCE($A40,AB$3)"),"#N/A")</f>
        <v>#N/A</v>
      </c>
      <c r="AC40" s="65">
        <f>IFERROR(__xludf.DUMMYFUNCTION("GOOGLEFINANCE($A40,AC$3)"),20.0)</f>
        <v>20</v>
      </c>
      <c r="AD40" s="65" t="str">
        <f>IFERROR(__xludf.DUMMYFUNCTION("GOOGLEFINANCE($A40,AD$3)"),"#N/A")</f>
        <v>#N/A</v>
      </c>
      <c r="AE40" s="65">
        <f>IFERROR(__xludf.DUMMYFUNCTION("GOOGLEFINANCE($A40,AE$3)"),557.0)</f>
        <v>557</v>
      </c>
      <c r="AF40" s="17"/>
      <c r="AG40" s="17"/>
      <c r="AH40" s="17"/>
      <c r="AI40" s="17"/>
      <c r="AJ40" s="17"/>
      <c r="AK40" s="17"/>
    </row>
    <row r="41">
      <c r="A41" s="47" t="s">
        <v>105</v>
      </c>
      <c r="B41" s="85" t="str">
        <f>IFERROR(__xludf.DUMMYFUNCTION("GOOGLEFINANCE(A41,""name"")"),"Lloyds Banking Group PLC")</f>
        <v>Lloyds Banking Group PLC</v>
      </c>
      <c r="C41" s="88"/>
      <c r="D41" s="71">
        <f>IFERROR(__xludf.DUMMYFUNCTION("GOOGLEFINANCE(A41)"),101.85)</f>
        <v>101.85</v>
      </c>
      <c r="E41" s="86"/>
      <c r="F41" s="86"/>
      <c r="G41" s="86"/>
      <c r="H41" s="73"/>
      <c r="I41" s="73"/>
      <c r="J41" s="87"/>
      <c r="K41" s="55" t="str">
        <f t="shared" si="6"/>
        <v>#DIV/0!</v>
      </c>
      <c r="L41" s="56" t="str">
        <f>IFERROR(__xludf.DUMMYFUNCTION("SPARKLINE(GoogleFinance(A41, ""price"", TODAY()-30, TODAY()),{""color"",""blue"";""linewidth"",2})        "),"")</f>
        <v/>
      </c>
      <c r="M41" s="17" t="str">
        <f>IFERROR(__xludf.DUMMYFUNCTION("GOOGLEFINANCE(A41,""currency"")"),"GBX")</f>
        <v>GBX</v>
      </c>
      <c r="N41" s="57">
        <f t="shared" si="7"/>
        <v>0.0044</v>
      </c>
      <c r="O41" s="58">
        <f>IFERROR(__xludf.DUMMYFUNCTION("GOOGLEFINANCE(A41,""Change"")"),0.45)</f>
        <v>0.45</v>
      </c>
      <c r="P41" s="59">
        <f>IFERROR(__xludf.DUMMYFUNCTION("GOOGLEFINANCE(A41,""High"")"),102.75)</f>
        <v>102.75</v>
      </c>
      <c r="Q41" s="59">
        <f>IFERROR(__xludf.DUMMYFUNCTION("GOOGLEFINANCE(A41,""low"")"),100.6)</f>
        <v>100.6</v>
      </c>
      <c r="R41" s="57">
        <f>IFERROR(__xludf.DUMMYFUNCTION("abs(P41-Q41)/GOOGLEFINANCE(A41,""closeyest"")"),0.02120315581854049)</f>
        <v>0.02120315582</v>
      </c>
      <c r="S41" s="60">
        <f t="shared" si="8"/>
        <v>0.675715696</v>
      </c>
      <c r="T41" s="61">
        <v>30.0</v>
      </c>
      <c r="U41" s="61"/>
      <c r="V41" s="63"/>
      <c r="W41" s="64" t="str">
        <f t="shared" si="9"/>
        <v/>
      </c>
      <c r="X41" s="65" t="str">
        <f>IFERROR(__xludf.DUMMYFUNCTION("GOOGLEFINANCE($A41,X$3)"),"#N/A")</f>
        <v>#N/A</v>
      </c>
      <c r="Y41" s="65">
        <f>IFERROR(__xludf.DUMMYFUNCTION("GOOGLEFINANCE($A41,Y$3)"),60.78)</f>
        <v>60.78</v>
      </c>
      <c r="Z41" s="65">
        <f>IFERROR(__xludf.DUMMYFUNCTION("GOOGLEFINANCE($A41,Z$3)"),114.6)</f>
        <v>114.6</v>
      </c>
      <c r="AA41" s="65" t="str">
        <f>IFERROR(__xludf.DUMMYFUNCTION("GOOGLEFINANCE($A41,AA$3)"),"#N/A")</f>
        <v>#N/A</v>
      </c>
      <c r="AB41" s="65" t="str">
        <f>IFERROR(__xludf.DUMMYFUNCTION("GOOGLEFINANCE($A41,AB$3)"),"#N/A")</f>
        <v>#N/A</v>
      </c>
      <c r="AC41" s="65">
        <f>IFERROR(__xludf.DUMMYFUNCTION("GOOGLEFINANCE($A41,AC$3)"),0.0)</f>
        <v>0</v>
      </c>
      <c r="AD41" s="65">
        <f>IFERROR(__xludf.DUMMYFUNCTION("GOOGLEFINANCE($A41,AD$3)"),8.2759581393E10)</f>
        <v>82759581393</v>
      </c>
      <c r="AE41" s="65">
        <f>IFERROR(__xludf.DUMMYFUNCTION("GOOGLEFINANCE($A41,AE$3)"),101.4)</f>
        <v>101.4</v>
      </c>
      <c r="AF41" s="17"/>
      <c r="AG41" s="17"/>
      <c r="AH41" s="17"/>
      <c r="AI41" s="17"/>
      <c r="AJ41" s="17"/>
      <c r="AK41" s="17"/>
    </row>
    <row r="42">
      <c r="A42" s="47" t="s">
        <v>70</v>
      </c>
      <c r="B42" s="85" t="str">
        <f>IFERROR(__xludf.DUMMYFUNCTION("GOOGLEFINANCE(A42,""name"")"),"Terrascend Corp")</f>
        <v>Terrascend Corp</v>
      </c>
      <c r="C42" s="86"/>
      <c r="D42" s="71">
        <f>IFERROR(__xludf.DUMMYFUNCTION("GOOGLEFINANCE(A42)"),0.47)</f>
        <v>0.47</v>
      </c>
      <c r="E42" s="86"/>
      <c r="F42" s="86"/>
      <c r="G42" s="86"/>
      <c r="H42" s="73"/>
      <c r="I42" s="73"/>
      <c r="J42" s="87"/>
      <c r="K42" s="55" t="str">
        <f t="shared" si="6"/>
        <v>#DIV/0!</v>
      </c>
      <c r="L42" s="56" t="str">
        <f>IFERROR(__xludf.DUMMYFUNCTION("SPARKLINE(GoogleFinance(A42, ""price"", TODAY()-30, TODAY()),{""color"",""blue"";""linewidth"",2})        "),"")</f>
        <v/>
      </c>
      <c r="M42" s="17" t="str">
        <f>IFERROR(__xludf.DUMMYFUNCTION("GOOGLEFINANCE(A42,""currency"")"),"EUR")</f>
        <v>EUR</v>
      </c>
      <c r="N42" s="57">
        <f t="shared" si="7"/>
        <v>0</v>
      </c>
      <c r="O42" s="58">
        <f>IFERROR(__xludf.DUMMYFUNCTION("GOOGLEFINANCE(A42,""Change"")"),0.0)</f>
        <v>0</v>
      </c>
      <c r="P42" s="59">
        <f>IFERROR(__xludf.DUMMYFUNCTION("GOOGLEFINANCE(A42,""High"")"),0.49)</f>
        <v>0.49</v>
      </c>
      <c r="Q42" s="59">
        <f>IFERROR(__xludf.DUMMYFUNCTION("GOOGLEFINANCE(A42,""low"")"),0.47)</f>
        <v>0.47</v>
      </c>
      <c r="R42" s="57">
        <f>IFERROR(__xludf.DUMMYFUNCTION("abs(P42-Q42)/GOOGLEFINANCE(A42,""closeyest"")"),0.04255319148936174)</f>
        <v>0.04255319149</v>
      </c>
      <c r="S42" s="60">
        <f t="shared" si="8"/>
        <v>1.764705882</v>
      </c>
      <c r="T42" s="61">
        <v>75.0</v>
      </c>
      <c r="U42" s="61"/>
      <c r="V42" s="63"/>
      <c r="W42" s="64" t="str">
        <f t="shared" si="9"/>
        <v>TRADE ALERT - Price level hit for TED currently at 0.47 Terrascend Corp</v>
      </c>
      <c r="X42" s="65" t="str">
        <f>IFERROR(__xludf.DUMMYFUNCTION("GOOGLEFINANCE($A42,X$3)"),"#N/A")</f>
        <v>#N/A</v>
      </c>
      <c r="Y42" s="65">
        <f>IFERROR(__xludf.DUMMYFUNCTION("GOOGLEFINANCE($A42,Y$3)"),0.17)</f>
        <v>0.17</v>
      </c>
      <c r="Z42" s="65">
        <f>IFERROR(__xludf.DUMMYFUNCTION("GOOGLEFINANCE($A42,Z$3)"),1.09)</f>
        <v>1.09</v>
      </c>
      <c r="AA42" s="65" t="str">
        <f>IFERROR(__xludf.DUMMYFUNCTION("GOOGLEFINANCE($A42,AA$3)"),"#N/A")</f>
        <v>#N/A</v>
      </c>
      <c r="AB42" s="65" t="str">
        <f>IFERROR(__xludf.DUMMYFUNCTION("GOOGLEFINANCE($A42,AB$3)"),"#N/A")</f>
        <v>#N/A</v>
      </c>
      <c r="AC42" s="65">
        <f>IFERROR(__xludf.DUMMYFUNCTION("GOOGLEFINANCE($A42,AC$3)"),15.0)</f>
        <v>15</v>
      </c>
      <c r="AD42" s="65">
        <f>IFERROR(__xludf.DUMMYFUNCTION("GOOGLEFINANCE($A42,AD$3)"),3.01350132E8)</f>
        <v>301350132</v>
      </c>
      <c r="AE42" s="65">
        <f>IFERROR(__xludf.DUMMYFUNCTION("GOOGLEFINANCE($A42,AE$3)"),0.47)</f>
        <v>0.47</v>
      </c>
      <c r="AF42" s="17"/>
      <c r="AG42" s="17"/>
      <c r="AH42" s="17"/>
      <c r="AI42" s="17"/>
      <c r="AJ42" s="17"/>
      <c r="AK42" s="17"/>
    </row>
    <row r="43">
      <c r="A43" s="47" t="s">
        <v>106</v>
      </c>
      <c r="B43" s="85" t="str">
        <f>IFERROR(__xludf.DUMMYFUNCTION("GOOGLEFINANCE(A43,""name"")"),"Coca-Cola Co")</f>
        <v>Coca-Cola Co</v>
      </c>
      <c r="C43" s="86"/>
      <c r="D43" s="71">
        <f>IFERROR(__xludf.DUMMYFUNCTION("GOOGLEFINANCE(A43)"),79.37)</f>
        <v>79.37</v>
      </c>
      <c r="E43" s="86"/>
      <c r="F43" s="86"/>
      <c r="G43" s="86"/>
      <c r="H43" s="73"/>
      <c r="I43" s="73"/>
      <c r="J43" s="87"/>
      <c r="K43" s="55" t="str">
        <f t="shared" si="6"/>
        <v>#DIV/0!</v>
      </c>
      <c r="L43" s="56" t="str">
        <f>IFERROR(__xludf.DUMMYFUNCTION("SPARKLINE(GoogleFinance(A43, ""price"", TODAY()-30, TODAY()),{""color"",""blue"";""linewidth"",2})        "),"")</f>
        <v/>
      </c>
      <c r="M43" s="17" t="str">
        <f>IFERROR(__xludf.DUMMYFUNCTION("GOOGLEFINANCE(A43,""currency"")"),"USD")</f>
        <v>USD</v>
      </c>
      <c r="N43" s="57">
        <f t="shared" si="7"/>
        <v>0.0088</v>
      </c>
      <c r="O43" s="58">
        <f>IFERROR(__xludf.DUMMYFUNCTION("GOOGLEFINANCE(A43,""Change"")"),0.69)</f>
        <v>0.69</v>
      </c>
      <c r="P43" s="59">
        <f>IFERROR(__xludf.DUMMYFUNCTION("GOOGLEFINANCE(A43,""High"")"),79.54)</f>
        <v>79.54</v>
      </c>
      <c r="Q43" s="59">
        <f>IFERROR(__xludf.DUMMYFUNCTION("GOOGLEFINANCE(A43,""low"")"),78.74)</f>
        <v>78.74</v>
      </c>
      <c r="R43" s="57">
        <f>IFERROR(__xludf.DUMMYFUNCTION("abs(P43-Q43)/GOOGLEFINANCE(A43,""closeyest"")"),0.010167768174885756)</f>
        <v>0.01016776817</v>
      </c>
      <c r="S43" s="60">
        <f t="shared" si="8"/>
        <v>0.2145371079</v>
      </c>
      <c r="T43" s="61">
        <v>40.0</v>
      </c>
      <c r="U43" s="61"/>
      <c r="V43" s="63"/>
      <c r="W43" s="64" t="str">
        <f t="shared" si="9"/>
        <v/>
      </c>
      <c r="X43" s="65">
        <f>IFERROR(__xludf.DUMMYFUNCTION("GOOGLEFINANCE($A43,X$3)"),0.36)</f>
        <v>0.36</v>
      </c>
      <c r="Y43" s="65">
        <f>IFERROR(__xludf.DUMMYFUNCTION("GOOGLEFINANCE($A43,Y$3)"),65.35)</f>
        <v>65.35</v>
      </c>
      <c r="Z43" s="65">
        <f>IFERROR(__xludf.DUMMYFUNCTION("GOOGLEFINANCE($A43,Z$3)"),80.41)</f>
        <v>80.41</v>
      </c>
      <c r="AA43" s="65" t="str">
        <f>IFERROR(__xludf.DUMMYFUNCTION("GOOGLEFINANCE($A43,AA$3)"),"#N/A")</f>
        <v>#N/A</v>
      </c>
      <c r="AB43" s="65">
        <f>IFERROR(__xludf.DUMMYFUNCTION("GOOGLEFINANCE($A43,AB$3)"),26.12)</f>
        <v>26.12</v>
      </c>
      <c r="AC43" s="65">
        <f>IFERROR(__xludf.DUMMYFUNCTION("GOOGLEFINANCE($A43,AC$3)"),0.0)</f>
        <v>0</v>
      </c>
      <c r="AD43" s="65">
        <f>IFERROR(__xludf.DUMMYFUNCTION("GOOGLEFINANCE($A43,AD$3)"),3.41440214375E11)</f>
        <v>341440214375</v>
      </c>
      <c r="AE43" s="65">
        <f>IFERROR(__xludf.DUMMYFUNCTION("GOOGLEFINANCE($A43,AE$3)"),78.68)</f>
        <v>78.68</v>
      </c>
      <c r="AF43" s="17"/>
      <c r="AG43" s="17"/>
      <c r="AH43" s="17"/>
      <c r="AI43" s="17"/>
      <c r="AJ43" s="17"/>
      <c r="AK43" s="17"/>
    </row>
    <row r="44">
      <c r="A44" s="47" t="s">
        <v>107</v>
      </c>
      <c r="B44" s="85" t="str">
        <f>IFERROR(__xludf.DUMMYFUNCTION("GOOGLEFINANCE(A44,""name"")"),"Walt Disney Co")</f>
        <v>Walt Disney Co</v>
      </c>
      <c r="C44" s="86"/>
      <c r="D44" s="71">
        <f>IFERROR(__xludf.DUMMYFUNCTION("GOOGLEFINANCE(A44)"),105.69)</f>
        <v>105.69</v>
      </c>
      <c r="E44" s="86"/>
      <c r="F44" s="86"/>
      <c r="G44" s="86"/>
      <c r="H44" s="73"/>
      <c r="I44" s="73"/>
      <c r="J44" s="87"/>
      <c r="K44" s="55" t="str">
        <f t="shared" si="6"/>
        <v>#DIV/0!</v>
      </c>
      <c r="L44" s="56" t="str">
        <f>IFERROR(__xludf.DUMMYFUNCTION("SPARKLINE(GoogleFinance(A44, ""price"", TODAY()-30, TODAY()),{""color"",""blue"";""linewidth"",2})        "),"")</f>
        <v/>
      </c>
      <c r="M44" s="17" t="str">
        <f>IFERROR(__xludf.DUMMYFUNCTION("GOOGLEFINANCE(A44,""currency"")"),"USD")</f>
        <v>USD</v>
      </c>
      <c r="N44" s="57">
        <f t="shared" si="7"/>
        <v>0.0023</v>
      </c>
      <c r="O44" s="58">
        <f>IFERROR(__xludf.DUMMYFUNCTION("GOOGLEFINANCE(A44,""Change"")"),0.24)</f>
        <v>0.24</v>
      </c>
      <c r="P44" s="59">
        <f>IFERROR(__xludf.DUMMYFUNCTION("GOOGLEFINANCE(A44,""High"")"),107.28)</f>
        <v>107.28</v>
      </c>
      <c r="Q44" s="59">
        <f>IFERROR(__xludf.DUMMYFUNCTION("GOOGLEFINANCE(A44,""low"")"),104.37)</f>
        <v>104.37</v>
      </c>
      <c r="R44" s="57">
        <f>IFERROR(__xludf.DUMMYFUNCTION("abs(P44-Q44)/GOOGLEFINANCE(A44,""closeyest"")"),0.02759601706970125)</f>
        <v>0.02759601707</v>
      </c>
      <c r="S44" s="60">
        <f t="shared" si="8"/>
        <v>0.3194756554</v>
      </c>
      <c r="T44" s="61">
        <v>100.0</v>
      </c>
      <c r="U44" s="61"/>
      <c r="V44" s="63"/>
      <c r="W44" s="64" t="str">
        <f t="shared" si="9"/>
        <v/>
      </c>
      <c r="X44" s="65">
        <f>IFERROR(__xludf.DUMMYFUNCTION("GOOGLEFINANCE($A44,X$3)"),1.43)</f>
        <v>1.43</v>
      </c>
      <c r="Y44" s="65">
        <f>IFERROR(__xludf.DUMMYFUNCTION("GOOGLEFINANCE($A44,Y$3)"),80.1)</f>
        <v>80.1</v>
      </c>
      <c r="Z44" s="65">
        <f>IFERROR(__xludf.DUMMYFUNCTION("GOOGLEFINANCE($A44,Z$3)"),124.69)</f>
        <v>124.69</v>
      </c>
      <c r="AA44" s="65" t="str">
        <f>IFERROR(__xludf.DUMMYFUNCTION("GOOGLEFINANCE($A44,AA$3)"),"#N/A")</f>
        <v>#N/A</v>
      </c>
      <c r="AB44" s="65">
        <f>IFERROR(__xludf.DUMMYFUNCTION("GOOGLEFINANCE($A44,AB$3)"),15.57)</f>
        <v>15.57</v>
      </c>
      <c r="AC44" s="65">
        <f>IFERROR(__xludf.DUMMYFUNCTION("GOOGLEFINANCE($A44,AC$3)"),0.0)</f>
        <v>0</v>
      </c>
      <c r="AD44" s="65">
        <f>IFERROR(__xludf.DUMMYFUNCTION("GOOGLEFINANCE($A44,AD$3)"),1.87231953125E11)</f>
        <v>187231953125</v>
      </c>
      <c r="AE44" s="65">
        <f>IFERROR(__xludf.DUMMYFUNCTION("GOOGLEFINANCE($A44,AE$3)"),105.45)</f>
        <v>105.45</v>
      </c>
      <c r="AF44" s="17"/>
      <c r="AG44" s="17"/>
      <c r="AH44" s="17"/>
      <c r="AI44" s="17"/>
      <c r="AJ44" s="17"/>
      <c r="AK44" s="17"/>
    </row>
    <row r="45">
      <c r="A45" s="47" t="s">
        <v>108</v>
      </c>
      <c r="B45" s="85" t="str">
        <f>IFERROR(__xludf.DUMMYFUNCTION("GOOGLEFINANCE(A45,""name"")"),"Nike Inc")</f>
        <v>Nike Inc</v>
      </c>
      <c r="C45" s="86"/>
      <c r="D45" s="71">
        <f>IFERROR(__xludf.DUMMYFUNCTION("GOOGLEFINANCE(A45)"),64.37)</f>
        <v>64.37</v>
      </c>
      <c r="E45" s="86"/>
      <c r="F45" s="86"/>
      <c r="G45" s="86"/>
      <c r="H45" s="73"/>
      <c r="I45" s="73"/>
      <c r="J45" s="87"/>
      <c r="K45" s="55" t="str">
        <f t="shared" si="6"/>
        <v>#DIV/0!</v>
      </c>
      <c r="L45" s="56" t="str">
        <f>IFERROR(__xludf.DUMMYFUNCTION("SPARKLINE(GoogleFinance(A45, ""price"", TODAY()-30, TODAY()),{""color"",""blue"";""linewidth"",2})        "),"")</f>
        <v/>
      </c>
      <c r="M45" s="17" t="str">
        <f>IFERROR(__xludf.DUMMYFUNCTION("GOOGLEFINANCE(A45,""currency"")"),"USD")</f>
        <v>USD</v>
      </c>
      <c r="N45" s="57">
        <f t="shared" si="7"/>
        <v>0.0196</v>
      </c>
      <c r="O45" s="58">
        <f>IFERROR(__xludf.DUMMYFUNCTION("GOOGLEFINANCE(A45,""Change"")"),1.24)</f>
        <v>1.24</v>
      </c>
      <c r="P45" s="59">
        <f>IFERROR(__xludf.DUMMYFUNCTION("GOOGLEFINANCE(A45,""High"")"),64.38)</f>
        <v>64.38</v>
      </c>
      <c r="Q45" s="59">
        <f>IFERROR(__xludf.DUMMYFUNCTION("GOOGLEFINANCE(A45,""low"")"),62.94)</f>
        <v>62.94</v>
      </c>
      <c r="R45" s="57">
        <f>IFERROR(__xludf.DUMMYFUNCTION("abs(P45-Q45)/GOOGLEFINANCE(A45,""closeyest"")"),0.022810074449548513)</f>
        <v>0.02281007445</v>
      </c>
      <c r="S45" s="60">
        <f t="shared" si="8"/>
        <v>0.2312547819</v>
      </c>
      <c r="T45" s="61">
        <v>70.0</v>
      </c>
      <c r="U45" s="61"/>
      <c r="V45" s="63"/>
      <c r="W45" s="64" t="str">
        <f t="shared" si="9"/>
        <v>TRADE ALERT - Price level hit for NKE currently at 64.37 Nike Inc</v>
      </c>
      <c r="X45" s="65">
        <f>IFERROR(__xludf.DUMMYFUNCTION("GOOGLEFINANCE($A45,X$3)"),1.27)</f>
        <v>1.27</v>
      </c>
      <c r="Y45" s="65">
        <f>IFERROR(__xludf.DUMMYFUNCTION("GOOGLEFINANCE($A45,Y$3)"),52.28)</f>
        <v>52.28</v>
      </c>
      <c r="Z45" s="65">
        <f>IFERROR(__xludf.DUMMYFUNCTION("GOOGLEFINANCE($A45,Z$3)"),82.44)</f>
        <v>82.44</v>
      </c>
      <c r="AA45" s="65" t="str">
        <f>IFERROR(__xludf.DUMMYFUNCTION("GOOGLEFINANCE($A45,AA$3)"),"#N/A")</f>
        <v>#N/A</v>
      </c>
      <c r="AB45" s="65">
        <f>IFERROR(__xludf.DUMMYFUNCTION("GOOGLEFINANCE($A45,AB$3)"),37.77)</f>
        <v>37.77</v>
      </c>
      <c r="AC45" s="65">
        <f>IFERROR(__xludf.DUMMYFUNCTION("GOOGLEFINANCE($A45,AC$3)"),0.0)</f>
        <v>0</v>
      </c>
      <c r="AD45" s="65">
        <f>IFERROR(__xludf.DUMMYFUNCTION("GOOGLEFINANCE($A45,AD$3)"),9.5292257775E10)</f>
        <v>95292257775</v>
      </c>
      <c r="AE45" s="65">
        <f>IFERROR(__xludf.DUMMYFUNCTION("GOOGLEFINANCE($A45,AE$3)"),63.13)</f>
        <v>63.13</v>
      </c>
      <c r="AF45" s="17"/>
      <c r="AG45" s="17"/>
      <c r="AH45" s="17"/>
      <c r="AI45" s="17"/>
      <c r="AJ45" s="17"/>
      <c r="AK45" s="17"/>
    </row>
    <row r="46">
      <c r="A46" s="47" t="s">
        <v>109</v>
      </c>
      <c r="B46" s="85" t="str">
        <f>IFERROR(__xludf.DUMMYFUNCTION("GOOGLEFINANCE(A46,""name"")"),"PepsiCo Inc")</f>
        <v>PepsiCo Inc</v>
      </c>
      <c r="C46" s="86"/>
      <c r="D46" s="71">
        <f>IFERROR(__xludf.DUMMYFUNCTION("GOOGLEFINANCE(A46)"),161.45)</f>
        <v>161.45</v>
      </c>
      <c r="E46" s="86"/>
      <c r="F46" s="86"/>
      <c r="G46" s="86"/>
      <c r="H46" s="73"/>
      <c r="I46" s="73"/>
      <c r="J46" s="87"/>
      <c r="K46" s="55" t="str">
        <f t="shared" si="6"/>
        <v>#DIV/0!</v>
      </c>
      <c r="L46" s="56" t="str">
        <f>IFERROR(__xludf.DUMMYFUNCTION("SPARKLINE(GoogleFinance(A46, ""price"", TODAY()-30, TODAY()),{""color"",""blue"";""linewidth"",2})        "),"")</f>
        <v/>
      </c>
      <c r="M46" s="17" t="str">
        <f>IFERROR(__xludf.DUMMYFUNCTION("GOOGLEFINANCE(A46,""currency"")"),"USD")</f>
        <v>USD</v>
      </c>
      <c r="N46" s="57">
        <f t="shared" si="7"/>
        <v>-0.0271</v>
      </c>
      <c r="O46" s="58">
        <f>IFERROR(__xludf.DUMMYFUNCTION("GOOGLEFINANCE(A46,""Change"")"),-4.49)</f>
        <v>-4.49</v>
      </c>
      <c r="P46" s="59">
        <f>IFERROR(__xludf.DUMMYFUNCTION("GOOGLEFINANCE(A46,""High"")"),167.54)</f>
        <v>167.54</v>
      </c>
      <c r="Q46" s="59">
        <f>IFERROR(__xludf.DUMMYFUNCTION("GOOGLEFINANCE(A46,""low"")"),160.81)</f>
        <v>160.81</v>
      </c>
      <c r="R46" s="57">
        <f>IFERROR(__xludf.DUMMYFUNCTION("abs(P46-Q46)/GOOGLEFINANCE(A46,""closeyest"")"),0.0405568277690731)</f>
        <v>0.04055682777</v>
      </c>
      <c r="S46" s="60">
        <f t="shared" si="8"/>
        <v>0.2652821317</v>
      </c>
      <c r="T46" s="61"/>
      <c r="U46" s="61"/>
      <c r="V46" s="63"/>
      <c r="W46" s="64" t="str">
        <f t="shared" si="9"/>
        <v/>
      </c>
      <c r="X46" s="65">
        <f>IFERROR(__xludf.DUMMYFUNCTION("GOOGLEFINANCE($A46,X$3)"),0.4)</f>
        <v>0.4</v>
      </c>
      <c r="Y46" s="65">
        <f>IFERROR(__xludf.DUMMYFUNCTION("GOOGLEFINANCE($A46,Y$3)"),127.6)</f>
        <v>127.6</v>
      </c>
      <c r="Z46" s="65">
        <f>IFERROR(__xludf.DUMMYFUNCTION("GOOGLEFINANCE($A46,Z$3)"),171.48)</f>
        <v>171.48</v>
      </c>
      <c r="AA46" s="65" t="str">
        <f>IFERROR(__xludf.DUMMYFUNCTION("GOOGLEFINANCE($A46,AA$3)"),"#N/A")</f>
        <v>#N/A</v>
      </c>
      <c r="AB46" s="65">
        <f>IFERROR(__xludf.DUMMYFUNCTION("GOOGLEFINANCE($A46,AB$3)"),26.9)</f>
        <v>26.9</v>
      </c>
      <c r="AC46" s="65">
        <f>IFERROR(__xludf.DUMMYFUNCTION("GOOGLEFINANCE($A46,AC$3)"),0.0)</f>
        <v>0</v>
      </c>
      <c r="AD46" s="65">
        <f>IFERROR(__xludf.DUMMYFUNCTION("GOOGLEFINANCE($A46,AD$3)"),2.20590820094E11)</f>
        <v>220590820094</v>
      </c>
      <c r="AE46" s="65">
        <f>IFERROR(__xludf.DUMMYFUNCTION("GOOGLEFINANCE($A46,AE$3)"),165.94)</f>
        <v>165.94</v>
      </c>
      <c r="AF46" s="17"/>
      <c r="AG46" s="17"/>
      <c r="AH46" s="17"/>
      <c r="AI46" s="17"/>
      <c r="AJ46" s="17"/>
      <c r="AK46" s="17"/>
    </row>
    <row r="47">
      <c r="A47" s="47"/>
      <c r="B47" s="85" t="str">
        <f>IFERROR(__xludf.DUMMYFUNCTION("GOOGLEFINANCE(A47,""name"")"),"#N/A")</f>
        <v>#N/A</v>
      </c>
      <c r="C47" s="86"/>
      <c r="D47" s="71" t="str">
        <f>IFERROR(__xludf.DUMMYFUNCTION("GOOGLEFINANCE(A47)"),"#N/A")</f>
        <v>#N/A</v>
      </c>
      <c r="E47" s="86"/>
      <c r="F47" s="86"/>
      <c r="G47" s="86"/>
      <c r="H47" s="73"/>
      <c r="I47" s="73"/>
      <c r="J47" s="87"/>
      <c r="K47" s="55" t="str">
        <f t="shared" si="6"/>
        <v>#N/A</v>
      </c>
      <c r="L47" s="56" t="str">
        <f>IFERROR(__xludf.DUMMYFUNCTION("SPARKLINE(GoogleFinance(A47, ""price"", TODAY()-30, TODAY()),{""color"",""blue"";""linewidth"",2})        "),"#N/A")</f>
        <v>#N/A</v>
      </c>
      <c r="M47" s="17" t="str">
        <f>IFERROR(__xludf.DUMMYFUNCTION("GOOGLEFINANCE(A47,""currency"")"),"#N/A")</f>
        <v>#N/A</v>
      </c>
      <c r="N47" s="57" t="str">
        <f t="shared" si="7"/>
        <v>#N/A</v>
      </c>
      <c r="O47" s="58" t="str">
        <f>IFERROR(__xludf.DUMMYFUNCTION("GOOGLEFINANCE(A47,""Change"")"),"#N/A")</f>
        <v>#N/A</v>
      </c>
      <c r="P47" s="59" t="str">
        <f>IFERROR(__xludf.DUMMYFUNCTION("GOOGLEFINANCE(A47,""High"")"),"#N/A")</f>
        <v>#N/A</v>
      </c>
      <c r="Q47" s="59" t="str">
        <f>IFERROR(__xludf.DUMMYFUNCTION("GOOGLEFINANCE(A47,""low"")"),"#N/A")</f>
        <v>#N/A</v>
      </c>
      <c r="R47" s="57" t="str">
        <f>IFERROR(__xludf.DUMMYFUNCTION("abs(P47-Q47)/GOOGLEFINANCE(A47,""closeyest"")"),"#N/A")</f>
        <v>#N/A</v>
      </c>
      <c r="S47" s="60" t="str">
        <f t="shared" si="8"/>
        <v>#N/A</v>
      </c>
      <c r="T47" s="61"/>
      <c r="U47" s="61"/>
      <c r="V47" s="63"/>
      <c r="W47" s="64" t="str">
        <f t="shared" si="9"/>
        <v>DATA UNAVAILABLE</v>
      </c>
      <c r="X47" s="65" t="str">
        <f>IFERROR(__xludf.DUMMYFUNCTION("GOOGLEFINANCE($A47,X$3)"),"#N/A")</f>
        <v>#N/A</v>
      </c>
      <c r="Y47" s="65" t="str">
        <f>IFERROR(__xludf.DUMMYFUNCTION("GOOGLEFINANCE($A47,Y$3)"),"#N/A")</f>
        <v>#N/A</v>
      </c>
      <c r="Z47" s="65" t="str">
        <f>IFERROR(__xludf.DUMMYFUNCTION("GOOGLEFINANCE($A47,Z$3)"),"#N/A")</f>
        <v>#N/A</v>
      </c>
      <c r="AA47" s="65" t="str">
        <f>IFERROR(__xludf.DUMMYFUNCTION("GOOGLEFINANCE($A47,AA$3)"),"#N/A")</f>
        <v>#N/A</v>
      </c>
      <c r="AB47" s="65" t="str">
        <f>IFERROR(__xludf.DUMMYFUNCTION("GOOGLEFINANCE($A47,AB$3)"),"#N/A")</f>
        <v>#N/A</v>
      </c>
      <c r="AC47" s="65" t="str">
        <f>IFERROR(__xludf.DUMMYFUNCTION("GOOGLEFINANCE($A47,AC$3)"),"#N/A")</f>
        <v>#N/A</v>
      </c>
      <c r="AD47" s="65" t="str">
        <f>IFERROR(__xludf.DUMMYFUNCTION("GOOGLEFINANCE($A47,AD$3)"),"#N/A")</f>
        <v>#N/A</v>
      </c>
      <c r="AE47" s="65" t="str">
        <f>IFERROR(__xludf.DUMMYFUNCTION("GOOGLEFINANCE($A47,AE$3)"),"#N/A")</f>
        <v>#N/A</v>
      </c>
      <c r="AF47" s="17"/>
      <c r="AG47" s="17"/>
      <c r="AH47" s="17"/>
      <c r="AI47" s="17"/>
      <c r="AJ47" s="17"/>
      <c r="AK47" s="17"/>
    </row>
    <row r="48">
      <c r="A48" s="47"/>
      <c r="B48" s="85" t="str">
        <f>IFERROR(__xludf.DUMMYFUNCTION("GOOGLEFINANCE(A48,""name"")"),"#N/A")</f>
        <v>#N/A</v>
      </c>
      <c r="C48" s="86"/>
      <c r="D48" s="71" t="str">
        <f>IFERROR(__xludf.DUMMYFUNCTION("GOOGLEFINANCE(A48)"),"#N/A")</f>
        <v>#N/A</v>
      </c>
      <c r="E48" s="86"/>
      <c r="F48" s="86"/>
      <c r="G48" s="86"/>
      <c r="H48" s="73"/>
      <c r="I48" s="73"/>
      <c r="J48" s="87"/>
      <c r="K48" s="55" t="str">
        <f t="shared" si="6"/>
        <v>#N/A</v>
      </c>
      <c r="L48" s="56" t="str">
        <f>IFERROR(__xludf.DUMMYFUNCTION("SPARKLINE(GoogleFinance(A48, ""price"", TODAY()-30, TODAY()),{""color"",""blue"";""linewidth"",2})        "),"#N/A")</f>
        <v>#N/A</v>
      </c>
      <c r="M48" s="17" t="str">
        <f>IFERROR(__xludf.DUMMYFUNCTION("GOOGLEFINANCE(A48,""currency"")"),"#N/A")</f>
        <v>#N/A</v>
      </c>
      <c r="N48" s="57" t="str">
        <f t="shared" si="7"/>
        <v>#N/A</v>
      </c>
      <c r="O48" s="58" t="str">
        <f>IFERROR(__xludf.DUMMYFUNCTION("GOOGLEFINANCE(A48,""Change"")"),"#N/A")</f>
        <v>#N/A</v>
      </c>
      <c r="P48" s="59" t="str">
        <f>IFERROR(__xludf.DUMMYFUNCTION("GOOGLEFINANCE(A48,""High"")"),"#N/A")</f>
        <v>#N/A</v>
      </c>
      <c r="Q48" s="59" t="str">
        <f>IFERROR(__xludf.DUMMYFUNCTION("GOOGLEFINANCE(A48,""low"")"),"#N/A")</f>
        <v>#N/A</v>
      </c>
      <c r="R48" s="57" t="str">
        <f>IFERROR(__xludf.DUMMYFUNCTION("abs(P48-Q48)/GOOGLEFINANCE(A48,""closeyest"")"),"#N/A")</f>
        <v>#N/A</v>
      </c>
      <c r="S48" s="60" t="str">
        <f t="shared" si="8"/>
        <v>#N/A</v>
      </c>
      <c r="T48" s="61"/>
      <c r="U48" s="61"/>
      <c r="V48" s="63"/>
      <c r="W48" s="64" t="str">
        <f t="shared" si="9"/>
        <v>DATA UNAVAILABLE</v>
      </c>
      <c r="X48" s="65" t="str">
        <f>IFERROR(__xludf.DUMMYFUNCTION("GOOGLEFINANCE($A48,X$3)"),"#N/A")</f>
        <v>#N/A</v>
      </c>
      <c r="Y48" s="65" t="str">
        <f>IFERROR(__xludf.DUMMYFUNCTION("GOOGLEFINANCE($A48,Y$3)"),"#N/A")</f>
        <v>#N/A</v>
      </c>
      <c r="Z48" s="65" t="str">
        <f>IFERROR(__xludf.DUMMYFUNCTION("GOOGLEFINANCE($A48,Z$3)"),"#N/A")</f>
        <v>#N/A</v>
      </c>
      <c r="AA48" s="65" t="str">
        <f>IFERROR(__xludf.DUMMYFUNCTION("GOOGLEFINANCE($A48,AA$3)"),"#N/A")</f>
        <v>#N/A</v>
      </c>
      <c r="AB48" s="65" t="str">
        <f>IFERROR(__xludf.DUMMYFUNCTION("GOOGLEFINANCE($A48,AB$3)"),"#N/A")</f>
        <v>#N/A</v>
      </c>
      <c r="AC48" s="65" t="str">
        <f>IFERROR(__xludf.DUMMYFUNCTION("GOOGLEFINANCE($A48,AC$3)"),"#N/A")</f>
        <v>#N/A</v>
      </c>
      <c r="AD48" s="65" t="str">
        <f>IFERROR(__xludf.DUMMYFUNCTION("GOOGLEFINANCE($A48,AD$3)"),"#N/A")</f>
        <v>#N/A</v>
      </c>
      <c r="AE48" s="65" t="str">
        <f>IFERROR(__xludf.DUMMYFUNCTION("GOOGLEFINANCE($A48,AE$3)"),"#N/A")</f>
        <v>#N/A</v>
      </c>
      <c r="AF48" s="17"/>
      <c r="AG48" s="17"/>
      <c r="AH48" s="17"/>
      <c r="AI48" s="17"/>
      <c r="AJ48" s="17"/>
      <c r="AK48" s="17"/>
    </row>
    <row r="49">
      <c r="A49" s="47"/>
      <c r="B49" s="85" t="str">
        <f>IFERROR(__xludf.DUMMYFUNCTION("GOOGLEFINANCE(A49,""name"")"),"#N/A")</f>
        <v>#N/A</v>
      </c>
      <c r="C49" s="86"/>
      <c r="D49" s="71" t="str">
        <f>IFERROR(__xludf.DUMMYFUNCTION("GOOGLEFINANCE(A49)"),"#N/A")</f>
        <v>#N/A</v>
      </c>
      <c r="E49" s="86"/>
      <c r="F49" s="86"/>
      <c r="G49" s="86"/>
      <c r="H49" s="73"/>
      <c r="I49" s="73"/>
      <c r="J49" s="87"/>
      <c r="K49" s="55" t="str">
        <f t="shared" si="6"/>
        <v>#N/A</v>
      </c>
      <c r="L49" s="56" t="str">
        <f>IFERROR(__xludf.DUMMYFUNCTION("SPARKLINE(GoogleFinance(A49, ""price"", TODAY()-30, TODAY()),{""color"",""blue"";""linewidth"",2})        "),"#N/A")</f>
        <v>#N/A</v>
      </c>
      <c r="M49" s="17" t="str">
        <f>IFERROR(__xludf.DUMMYFUNCTION("GOOGLEFINANCE(A49,""currency"")"),"#N/A")</f>
        <v>#N/A</v>
      </c>
      <c r="N49" s="57" t="str">
        <f t="shared" si="7"/>
        <v>#N/A</v>
      </c>
      <c r="O49" s="58" t="str">
        <f>IFERROR(__xludf.DUMMYFUNCTION("GOOGLEFINANCE(A49,""Change"")"),"#N/A")</f>
        <v>#N/A</v>
      </c>
      <c r="P49" s="59" t="str">
        <f>IFERROR(__xludf.DUMMYFUNCTION("GOOGLEFINANCE(A49,""High"")"),"#N/A")</f>
        <v>#N/A</v>
      </c>
      <c r="Q49" s="59" t="str">
        <f>IFERROR(__xludf.DUMMYFUNCTION("GOOGLEFINANCE(A49,""low"")"),"#N/A")</f>
        <v>#N/A</v>
      </c>
      <c r="R49" s="57" t="str">
        <f>IFERROR(__xludf.DUMMYFUNCTION("abs(P49-Q49)/GOOGLEFINANCE(A49,""closeyest"")"),"#N/A")</f>
        <v>#N/A</v>
      </c>
      <c r="S49" s="60" t="str">
        <f t="shared" si="8"/>
        <v>#N/A</v>
      </c>
      <c r="T49" s="61"/>
      <c r="U49" s="61"/>
      <c r="V49" s="63"/>
      <c r="W49" s="64" t="str">
        <f t="shared" si="9"/>
        <v>DATA UNAVAILABLE</v>
      </c>
      <c r="X49" s="65" t="str">
        <f>IFERROR(__xludf.DUMMYFUNCTION("GOOGLEFINANCE($A49,X$3)"),"#N/A")</f>
        <v>#N/A</v>
      </c>
      <c r="Y49" s="65" t="str">
        <f>IFERROR(__xludf.DUMMYFUNCTION("GOOGLEFINANCE($A49,Y$3)"),"#N/A")</f>
        <v>#N/A</v>
      </c>
      <c r="Z49" s="65" t="str">
        <f>IFERROR(__xludf.DUMMYFUNCTION("GOOGLEFINANCE($A49,Z$3)"),"#N/A")</f>
        <v>#N/A</v>
      </c>
      <c r="AA49" s="65" t="str">
        <f>IFERROR(__xludf.DUMMYFUNCTION("GOOGLEFINANCE($A49,AA$3)"),"#N/A")</f>
        <v>#N/A</v>
      </c>
      <c r="AB49" s="65" t="str">
        <f>IFERROR(__xludf.DUMMYFUNCTION("GOOGLEFINANCE($A49,AB$3)"),"#N/A")</f>
        <v>#N/A</v>
      </c>
      <c r="AC49" s="65" t="str">
        <f>IFERROR(__xludf.DUMMYFUNCTION("GOOGLEFINANCE($A49,AC$3)"),"#N/A")</f>
        <v>#N/A</v>
      </c>
      <c r="AD49" s="65" t="str">
        <f>IFERROR(__xludf.DUMMYFUNCTION("GOOGLEFINANCE($A49,AD$3)"),"#N/A")</f>
        <v>#N/A</v>
      </c>
      <c r="AE49" s="65" t="str">
        <f>IFERROR(__xludf.DUMMYFUNCTION("GOOGLEFINANCE($A49,AE$3)"),"#N/A")</f>
        <v>#N/A</v>
      </c>
      <c r="AF49" s="17"/>
      <c r="AG49" s="17"/>
      <c r="AH49" s="17"/>
      <c r="AI49" s="17"/>
      <c r="AJ49" s="17"/>
      <c r="AK49" s="17"/>
    </row>
    <row r="50">
      <c r="A50" s="47"/>
      <c r="B50" s="85" t="str">
        <f>IFERROR(__xludf.DUMMYFUNCTION("GOOGLEFINANCE(A50,""name"")"),"#N/A")</f>
        <v>#N/A</v>
      </c>
      <c r="C50" s="86"/>
      <c r="D50" s="71" t="str">
        <f>IFERROR(__xludf.DUMMYFUNCTION("GOOGLEFINANCE(A50)"),"#N/A")</f>
        <v>#N/A</v>
      </c>
      <c r="E50" s="86"/>
      <c r="F50" s="86"/>
      <c r="G50" s="86"/>
      <c r="H50" s="73"/>
      <c r="I50" s="73"/>
      <c r="J50" s="87"/>
      <c r="K50" s="55" t="str">
        <f t="shared" si="6"/>
        <v>#N/A</v>
      </c>
      <c r="L50" s="56" t="str">
        <f>IFERROR(__xludf.DUMMYFUNCTION("SPARKLINE(GoogleFinance(A50, ""price"", TODAY()-30, TODAY()),{""color"",""blue"";""linewidth"",2})        "),"#N/A")</f>
        <v>#N/A</v>
      </c>
      <c r="M50" s="17" t="str">
        <f>IFERROR(__xludf.DUMMYFUNCTION("GOOGLEFINANCE(A50,""currency"")"),"#N/A")</f>
        <v>#N/A</v>
      </c>
      <c r="N50" s="57" t="str">
        <f t="shared" si="7"/>
        <v>#N/A</v>
      </c>
      <c r="O50" s="58" t="str">
        <f>IFERROR(__xludf.DUMMYFUNCTION("GOOGLEFINANCE(A50,""Change"")"),"#N/A")</f>
        <v>#N/A</v>
      </c>
      <c r="P50" s="59" t="str">
        <f>IFERROR(__xludf.DUMMYFUNCTION("GOOGLEFINANCE(A50,""High"")"),"#N/A")</f>
        <v>#N/A</v>
      </c>
      <c r="Q50" s="59" t="str">
        <f>IFERROR(__xludf.DUMMYFUNCTION("GOOGLEFINANCE(A50,""low"")"),"#N/A")</f>
        <v>#N/A</v>
      </c>
      <c r="R50" s="57" t="str">
        <f>IFERROR(__xludf.DUMMYFUNCTION("abs(P50-Q50)/GOOGLEFINANCE(A50,""closeyest"")"),"#N/A")</f>
        <v>#N/A</v>
      </c>
      <c r="S50" s="60" t="str">
        <f t="shared" si="8"/>
        <v>#N/A</v>
      </c>
      <c r="T50" s="61"/>
      <c r="U50" s="61"/>
      <c r="V50" s="63"/>
      <c r="W50" s="64" t="str">
        <f t="shared" si="9"/>
        <v>DATA UNAVAILABLE</v>
      </c>
      <c r="X50" s="65" t="str">
        <f>IFERROR(__xludf.DUMMYFUNCTION("GOOGLEFINANCE($A50,X$3)"),"#N/A")</f>
        <v>#N/A</v>
      </c>
      <c r="Y50" s="65" t="str">
        <f>IFERROR(__xludf.DUMMYFUNCTION("GOOGLEFINANCE($A50,Y$3)"),"#N/A")</f>
        <v>#N/A</v>
      </c>
      <c r="Z50" s="65" t="str">
        <f>IFERROR(__xludf.DUMMYFUNCTION("GOOGLEFINANCE($A50,Z$3)"),"#N/A")</f>
        <v>#N/A</v>
      </c>
      <c r="AA50" s="65" t="str">
        <f>IFERROR(__xludf.DUMMYFUNCTION("GOOGLEFINANCE($A50,AA$3)"),"#N/A")</f>
        <v>#N/A</v>
      </c>
      <c r="AB50" s="65" t="str">
        <f>IFERROR(__xludf.DUMMYFUNCTION("GOOGLEFINANCE($A50,AB$3)"),"#N/A")</f>
        <v>#N/A</v>
      </c>
      <c r="AC50" s="65" t="str">
        <f>IFERROR(__xludf.DUMMYFUNCTION("GOOGLEFINANCE($A50,AC$3)"),"#N/A")</f>
        <v>#N/A</v>
      </c>
      <c r="AD50" s="65" t="str">
        <f>IFERROR(__xludf.DUMMYFUNCTION("GOOGLEFINANCE($A50,AD$3)"),"#N/A")</f>
        <v>#N/A</v>
      </c>
      <c r="AE50" s="65" t="str">
        <f>IFERROR(__xludf.DUMMYFUNCTION("GOOGLEFINANCE($A50,AE$3)"),"#N/A")</f>
        <v>#N/A</v>
      </c>
      <c r="AF50" s="17"/>
      <c r="AG50" s="17"/>
      <c r="AH50" s="17"/>
      <c r="AI50" s="17"/>
      <c r="AJ50" s="17"/>
      <c r="AK50" s="17"/>
    </row>
    <row r="51">
      <c r="A51" s="66"/>
      <c r="B51" s="85" t="str">
        <f>IFERROR(__xludf.DUMMYFUNCTION("GOOGLEFINANCE(A51,""name"")"),"#N/A")</f>
        <v>#N/A</v>
      </c>
      <c r="C51" s="86"/>
      <c r="D51" s="71" t="str">
        <f>IFERROR(__xludf.DUMMYFUNCTION("GOOGLEFINANCE(A51)"),"#N/A")</f>
        <v>#N/A</v>
      </c>
      <c r="E51" s="86"/>
      <c r="F51" s="86"/>
      <c r="G51" s="86"/>
      <c r="H51" s="73"/>
      <c r="I51" s="73"/>
      <c r="J51" s="87"/>
      <c r="K51" s="55" t="str">
        <f t="shared" si="6"/>
        <v>#N/A</v>
      </c>
      <c r="L51" s="56" t="str">
        <f>IFERROR(__xludf.DUMMYFUNCTION("SPARKLINE(GoogleFinance(A51, ""price"", TODAY()-30, TODAY()),{""color"",""blue"";""linewidth"",2})        "),"#N/A")</f>
        <v>#N/A</v>
      </c>
      <c r="M51" s="17" t="str">
        <f>IFERROR(__xludf.DUMMYFUNCTION("GOOGLEFINANCE(A51,""currency"")"),"#N/A")</f>
        <v>#N/A</v>
      </c>
      <c r="N51" s="57" t="str">
        <f t="shared" si="7"/>
        <v>#N/A</v>
      </c>
      <c r="O51" s="58" t="str">
        <f>IFERROR(__xludf.DUMMYFUNCTION("GOOGLEFINANCE(A51,""Change"")"),"#N/A")</f>
        <v>#N/A</v>
      </c>
      <c r="P51" s="59" t="str">
        <f>IFERROR(__xludf.DUMMYFUNCTION("GOOGLEFINANCE(A51,""High"")"),"#N/A")</f>
        <v>#N/A</v>
      </c>
      <c r="Q51" s="59" t="str">
        <f>IFERROR(__xludf.DUMMYFUNCTION("GOOGLEFINANCE(A51,""low"")"),"#N/A")</f>
        <v>#N/A</v>
      </c>
      <c r="R51" s="57" t="str">
        <f>IFERROR(__xludf.DUMMYFUNCTION("abs(P51-Q51)/GOOGLEFINANCE(A51,""closeyest"")"),"#N/A")</f>
        <v>#N/A</v>
      </c>
      <c r="S51" s="60" t="str">
        <f t="shared" si="8"/>
        <v>#N/A</v>
      </c>
      <c r="T51" s="61"/>
      <c r="U51" s="61"/>
      <c r="V51" s="63"/>
      <c r="W51" s="64" t="str">
        <f t="shared" si="9"/>
        <v>DATA UNAVAILABLE</v>
      </c>
      <c r="X51" s="65" t="str">
        <f>IFERROR(__xludf.DUMMYFUNCTION("GOOGLEFINANCE($A51,X$3)"),"#N/A")</f>
        <v>#N/A</v>
      </c>
      <c r="Y51" s="65" t="str">
        <f>IFERROR(__xludf.DUMMYFUNCTION("GOOGLEFINANCE($A51,Y$3)"),"#N/A")</f>
        <v>#N/A</v>
      </c>
      <c r="Z51" s="65" t="str">
        <f>IFERROR(__xludf.DUMMYFUNCTION("GOOGLEFINANCE($A51,Z$3)"),"#N/A")</f>
        <v>#N/A</v>
      </c>
      <c r="AA51" s="65" t="str">
        <f>IFERROR(__xludf.DUMMYFUNCTION("GOOGLEFINANCE($A51,AA$3)"),"#N/A")</f>
        <v>#N/A</v>
      </c>
      <c r="AB51" s="65" t="str">
        <f>IFERROR(__xludf.DUMMYFUNCTION("GOOGLEFINANCE($A51,AB$3)"),"#N/A")</f>
        <v>#N/A</v>
      </c>
      <c r="AC51" s="65" t="str">
        <f>IFERROR(__xludf.DUMMYFUNCTION("GOOGLEFINANCE($A51,AC$3)"),"#N/A")</f>
        <v>#N/A</v>
      </c>
      <c r="AD51" s="65" t="str">
        <f>IFERROR(__xludf.DUMMYFUNCTION("GOOGLEFINANCE($A51,AD$3)"),"#N/A")</f>
        <v>#N/A</v>
      </c>
      <c r="AE51" s="65" t="str">
        <f>IFERROR(__xludf.DUMMYFUNCTION("GOOGLEFINANCE($A51,AE$3)"),"#N/A")</f>
        <v>#N/A</v>
      </c>
      <c r="AF51" s="17"/>
      <c r="AG51" s="17"/>
      <c r="AH51" s="17"/>
      <c r="AI51" s="17"/>
      <c r="AJ51" s="17"/>
      <c r="AK51" s="17"/>
    </row>
    <row r="52">
      <c r="A52" s="66"/>
      <c r="B52" s="85" t="str">
        <f>IFERROR(__xludf.DUMMYFUNCTION("GOOGLEFINANCE(A52,""name"")"),"#N/A")</f>
        <v>#N/A</v>
      </c>
      <c r="C52" s="86"/>
      <c r="D52" s="71" t="str">
        <f>IFERROR(__xludf.DUMMYFUNCTION("GOOGLEFINANCE(A52)"),"#N/A")</f>
        <v>#N/A</v>
      </c>
      <c r="E52" s="86"/>
      <c r="F52" s="86"/>
      <c r="G52" s="86"/>
      <c r="H52" s="73"/>
      <c r="I52" s="73"/>
      <c r="J52" s="87"/>
      <c r="K52" s="55" t="str">
        <f t="shared" si="6"/>
        <v>#N/A</v>
      </c>
      <c r="L52" s="56" t="str">
        <f>IFERROR(__xludf.DUMMYFUNCTION("SPARKLINE(GoogleFinance(A52, ""price"", TODAY()-30, TODAY()),{""color"",""blue"";""linewidth"",2})        "),"#N/A")</f>
        <v>#N/A</v>
      </c>
      <c r="M52" s="17" t="str">
        <f>IFERROR(__xludf.DUMMYFUNCTION("GOOGLEFINANCE(A52,""currency"")"),"#N/A")</f>
        <v>#N/A</v>
      </c>
      <c r="N52" s="57" t="str">
        <f t="shared" si="7"/>
        <v>#N/A</v>
      </c>
      <c r="O52" s="58" t="str">
        <f>IFERROR(__xludf.DUMMYFUNCTION("GOOGLEFINANCE(A52,""Change"")"),"#N/A")</f>
        <v>#N/A</v>
      </c>
      <c r="P52" s="59" t="str">
        <f>IFERROR(__xludf.DUMMYFUNCTION("GOOGLEFINANCE(A52,""High"")"),"#N/A")</f>
        <v>#N/A</v>
      </c>
      <c r="Q52" s="59" t="str">
        <f>IFERROR(__xludf.DUMMYFUNCTION("GOOGLEFINANCE(A52,""low"")"),"#N/A")</f>
        <v>#N/A</v>
      </c>
      <c r="R52" s="57" t="str">
        <f>IFERROR(__xludf.DUMMYFUNCTION("abs(P52-Q52)/GOOGLEFINANCE(A52,""closeyest"")"),"#N/A")</f>
        <v>#N/A</v>
      </c>
      <c r="S52" s="60" t="str">
        <f t="shared" si="8"/>
        <v>#N/A</v>
      </c>
      <c r="T52" s="61"/>
      <c r="U52" s="61"/>
      <c r="V52" s="63"/>
      <c r="W52" s="64" t="str">
        <f t="shared" si="9"/>
        <v>DATA UNAVAILABLE</v>
      </c>
      <c r="X52" s="65" t="str">
        <f>IFERROR(__xludf.DUMMYFUNCTION("GOOGLEFINANCE($A52,X$3)"),"#N/A")</f>
        <v>#N/A</v>
      </c>
      <c r="Y52" s="65" t="str">
        <f>IFERROR(__xludf.DUMMYFUNCTION("GOOGLEFINANCE($A52,Y$3)"),"#N/A")</f>
        <v>#N/A</v>
      </c>
      <c r="Z52" s="65" t="str">
        <f>IFERROR(__xludf.DUMMYFUNCTION("GOOGLEFINANCE($A52,Z$3)"),"#N/A")</f>
        <v>#N/A</v>
      </c>
      <c r="AA52" s="65" t="str">
        <f>IFERROR(__xludf.DUMMYFUNCTION("GOOGLEFINANCE($A52,AA$3)"),"#N/A")</f>
        <v>#N/A</v>
      </c>
      <c r="AB52" s="65" t="str">
        <f>IFERROR(__xludf.DUMMYFUNCTION("GOOGLEFINANCE($A52,AB$3)"),"#N/A")</f>
        <v>#N/A</v>
      </c>
      <c r="AC52" s="65" t="str">
        <f>IFERROR(__xludf.DUMMYFUNCTION("GOOGLEFINANCE($A52,AC$3)"),"#N/A")</f>
        <v>#N/A</v>
      </c>
      <c r="AD52" s="65" t="str">
        <f>IFERROR(__xludf.DUMMYFUNCTION("GOOGLEFINANCE($A52,AD$3)"),"#N/A")</f>
        <v>#N/A</v>
      </c>
      <c r="AE52" s="65" t="str">
        <f>IFERROR(__xludf.DUMMYFUNCTION("GOOGLEFINANCE($A52,AE$3)"),"#N/A")</f>
        <v>#N/A</v>
      </c>
      <c r="AF52" s="17"/>
      <c r="AG52" s="17"/>
      <c r="AH52" s="17"/>
      <c r="AI52" s="17"/>
      <c r="AJ52" s="17"/>
      <c r="AK52" s="17"/>
    </row>
    <row r="53">
      <c r="A53" s="66"/>
      <c r="B53" s="85" t="str">
        <f>IFERROR(__xludf.DUMMYFUNCTION("GOOGLEFINANCE(A53,""name"")"),"#N/A")</f>
        <v>#N/A</v>
      </c>
      <c r="C53" s="86"/>
      <c r="D53" s="71" t="str">
        <f>IFERROR(__xludf.DUMMYFUNCTION("GOOGLEFINANCE(A53)"),"#N/A")</f>
        <v>#N/A</v>
      </c>
      <c r="E53" s="86"/>
      <c r="F53" s="86"/>
      <c r="G53" s="86"/>
      <c r="H53" s="73"/>
      <c r="I53" s="73"/>
      <c r="J53" s="87"/>
      <c r="K53" s="55" t="str">
        <f t="shared" si="6"/>
        <v>#N/A</v>
      </c>
      <c r="L53" s="56" t="str">
        <f>IFERROR(__xludf.DUMMYFUNCTION("SPARKLINE(GoogleFinance(A53, ""price"", TODAY()-30, TODAY()),{""color"",""blue"";""linewidth"",2})        "),"#N/A")</f>
        <v>#N/A</v>
      </c>
      <c r="M53" s="17" t="str">
        <f>IFERROR(__xludf.DUMMYFUNCTION("GOOGLEFINANCE(A53,""currency"")"),"#N/A")</f>
        <v>#N/A</v>
      </c>
      <c r="N53" s="57" t="str">
        <f t="shared" si="7"/>
        <v>#N/A</v>
      </c>
      <c r="O53" s="58" t="str">
        <f>IFERROR(__xludf.DUMMYFUNCTION("GOOGLEFINANCE(A53,""Change"")"),"#N/A")</f>
        <v>#N/A</v>
      </c>
      <c r="P53" s="59" t="str">
        <f>IFERROR(__xludf.DUMMYFUNCTION("GOOGLEFINANCE(A53,""High"")"),"#N/A")</f>
        <v>#N/A</v>
      </c>
      <c r="Q53" s="59" t="str">
        <f>IFERROR(__xludf.DUMMYFUNCTION("GOOGLEFINANCE(A53,""low"")"),"#N/A")</f>
        <v>#N/A</v>
      </c>
      <c r="R53" s="57" t="str">
        <f>IFERROR(__xludf.DUMMYFUNCTION("abs(P53-Q53)/GOOGLEFINANCE(A53,""closeyest"")"),"#N/A")</f>
        <v>#N/A</v>
      </c>
      <c r="S53" s="60" t="str">
        <f t="shared" si="8"/>
        <v>#N/A</v>
      </c>
      <c r="T53" s="61"/>
      <c r="U53" s="61"/>
      <c r="V53" s="63"/>
      <c r="W53" s="64" t="str">
        <f t="shared" si="9"/>
        <v>DATA UNAVAILABLE</v>
      </c>
      <c r="X53" s="65" t="str">
        <f>IFERROR(__xludf.DUMMYFUNCTION("GOOGLEFINANCE($A53,X$3)"),"#N/A")</f>
        <v>#N/A</v>
      </c>
      <c r="Y53" s="65" t="str">
        <f>IFERROR(__xludf.DUMMYFUNCTION("GOOGLEFINANCE($A53,Y$3)"),"#N/A")</f>
        <v>#N/A</v>
      </c>
      <c r="Z53" s="65" t="str">
        <f>IFERROR(__xludf.DUMMYFUNCTION("GOOGLEFINANCE($A53,Z$3)"),"#N/A")</f>
        <v>#N/A</v>
      </c>
      <c r="AA53" s="65" t="str">
        <f>IFERROR(__xludf.DUMMYFUNCTION("GOOGLEFINANCE($A53,AA$3)"),"#N/A")</f>
        <v>#N/A</v>
      </c>
      <c r="AB53" s="65" t="str">
        <f>IFERROR(__xludf.DUMMYFUNCTION("GOOGLEFINANCE($A53,AB$3)"),"#N/A")</f>
        <v>#N/A</v>
      </c>
      <c r="AC53" s="65" t="str">
        <f>IFERROR(__xludf.DUMMYFUNCTION("GOOGLEFINANCE($A53,AC$3)"),"#N/A")</f>
        <v>#N/A</v>
      </c>
      <c r="AD53" s="65" t="str">
        <f>IFERROR(__xludf.DUMMYFUNCTION("GOOGLEFINANCE($A53,AD$3)"),"#N/A")</f>
        <v>#N/A</v>
      </c>
      <c r="AE53" s="65" t="str">
        <f>IFERROR(__xludf.DUMMYFUNCTION("GOOGLEFINANCE($A53,AE$3)"),"#N/A")</f>
        <v>#N/A</v>
      </c>
      <c r="AF53" s="17"/>
      <c r="AG53" s="17"/>
      <c r="AH53" s="17"/>
      <c r="AI53" s="17"/>
      <c r="AJ53" s="17"/>
      <c r="AK53" s="17"/>
    </row>
    <row r="54">
      <c r="A54" s="66"/>
      <c r="B54" s="85" t="str">
        <f>IFERROR(__xludf.DUMMYFUNCTION("GOOGLEFINANCE(A54,""name"")"),"#N/A")</f>
        <v>#N/A</v>
      </c>
      <c r="C54" s="86"/>
      <c r="D54" s="71" t="str">
        <f>IFERROR(__xludf.DUMMYFUNCTION("GOOGLEFINANCE(A54)"),"#N/A")</f>
        <v>#N/A</v>
      </c>
      <c r="E54" s="86"/>
      <c r="F54" s="86"/>
      <c r="G54" s="86"/>
      <c r="H54" s="73"/>
      <c r="I54" s="73"/>
      <c r="J54" s="87"/>
      <c r="K54" s="55" t="str">
        <f t="shared" si="6"/>
        <v>#N/A</v>
      </c>
      <c r="L54" s="56" t="str">
        <f>IFERROR(__xludf.DUMMYFUNCTION("SPARKLINE(GoogleFinance(A54, ""price"", TODAY()-30, TODAY()),{""color"",""blue"";""linewidth"",2})        "),"#N/A")</f>
        <v>#N/A</v>
      </c>
      <c r="M54" s="17" t="str">
        <f>IFERROR(__xludf.DUMMYFUNCTION("GOOGLEFINANCE(A54,""currency"")"),"#N/A")</f>
        <v>#N/A</v>
      </c>
      <c r="N54" s="57" t="str">
        <f t="shared" si="7"/>
        <v>#N/A</v>
      </c>
      <c r="O54" s="58" t="str">
        <f>IFERROR(__xludf.DUMMYFUNCTION("GOOGLEFINANCE(A54,""Change"")"),"#N/A")</f>
        <v>#N/A</v>
      </c>
      <c r="P54" s="59" t="str">
        <f>IFERROR(__xludf.DUMMYFUNCTION("GOOGLEFINANCE(A54,""High"")"),"#N/A")</f>
        <v>#N/A</v>
      </c>
      <c r="Q54" s="59" t="str">
        <f>IFERROR(__xludf.DUMMYFUNCTION("GOOGLEFINANCE(A54,""low"")"),"#N/A")</f>
        <v>#N/A</v>
      </c>
      <c r="R54" s="57" t="str">
        <f>IFERROR(__xludf.DUMMYFUNCTION("abs(P54-Q54)/GOOGLEFINANCE(A54,""closeyest"")"),"#N/A")</f>
        <v>#N/A</v>
      </c>
      <c r="S54" s="60" t="str">
        <f t="shared" si="8"/>
        <v>#N/A</v>
      </c>
      <c r="T54" s="61"/>
      <c r="U54" s="61"/>
      <c r="V54" s="63"/>
      <c r="W54" s="64" t="str">
        <f t="shared" si="9"/>
        <v>DATA UNAVAILABLE</v>
      </c>
      <c r="X54" s="65" t="str">
        <f>IFERROR(__xludf.DUMMYFUNCTION("GOOGLEFINANCE($A54,X$3)"),"#N/A")</f>
        <v>#N/A</v>
      </c>
      <c r="Y54" s="65" t="str">
        <f>IFERROR(__xludf.DUMMYFUNCTION("GOOGLEFINANCE($A54,Y$3)"),"#N/A")</f>
        <v>#N/A</v>
      </c>
      <c r="Z54" s="65" t="str">
        <f>IFERROR(__xludf.DUMMYFUNCTION("GOOGLEFINANCE($A54,Z$3)"),"#N/A")</f>
        <v>#N/A</v>
      </c>
      <c r="AA54" s="65" t="str">
        <f>IFERROR(__xludf.DUMMYFUNCTION("GOOGLEFINANCE($A54,AA$3)"),"#N/A")</f>
        <v>#N/A</v>
      </c>
      <c r="AB54" s="65" t="str">
        <f>IFERROR(__xludf.DUMMYFUNCTION("GOOGLEFINANCE($A54,AB$3)"),"#N/A")</f>
        <v>#N/A</v>
      </c>
      <c r="AC54" s="65" t="str">
        <f>IFERROR(__xludf.DUMMYFUNCTION("GOOGLEFINANCE($A54,AC$3)"),"#N/A")</f>
        <v>#N/A</v>
      </c>
      <c r="AD54" s="65" t="str">
        <f>IFERROR(__xludf.DUMMYFUNCTION("GOOGLEFINANCE($A54,AD$3)"),"#N/A")</f>
        <v>#N/A</v>
      </c>
      <c r="AE54" s="65" t="str">
        <f>IFERROR(__xludf.DUMMYFUNCTION("GOOGLEFINANCE($A54,AE$3)"),"#N/A")</f>
        <v>#N/A</v>
      </c>
      <c r="AF54" s="17"/>
      <c r="AG54" s="17"/>
      <c r="AH54" s="17"/>
      <c r="AI54" s="17"/>
      <c r="AJ54" s="17"/>
      <c r="AK54" s="17"/>
    </row>
    <row r="55">
      <c r="A55" s="66"/>
      <c r="B55" s="85" t="str">
        <f>IFERROR(__xludf.DUMMYFUNCTION("GOOGLEFINANCE(A55,""name"")"),"#N/A")</f>
        <v>#N/A</v>
      </c>
      <c r="C55" s="86"/>
      <c r="D55" s="71" t="str">
        <f>IFERROR(__xludf.DUMMYFUNCTION("GOOGLEFINANCE(A55)"),"#N/A")</f>
        <v>#N/A</v>
      </c>
      <c r="E55" s="86"/>
      <c r="F55" s="86"/>
      <c r="G55" s="86"/>
      <c r="H55" s="73"/>
      <c r="I55" s="73"/>
      <c r="J55" s="87"/>
      <c r="K55" s="55" t="str">
        <f t="shared" si="6"/>
        <v>#N/A</v>
      </c>
      <c r="L55" s="56" t="str">
        <f>IFERROR(__xludf.DUMMYFUNCTION("SPARKLINE(GoogleFinance(A55, ""price"", TODAY()-30, TODAY()),{""color"",""blue"";""linewidth"",2})        "),"#N/A")</f>
        <v>#N/A</v>
      </c>
      <c r="M55" s="17" t="str">
        <f>IFERROR(__xludf.DUMMYFUNCTION("GOOGLEFINANCE(A55,""currency"")"),"#N/A")</f>
        <v>#N/A</v>
      </c>
      <c r="N55" s="57" t="str">
        <f t="shared" si="7"/>
        <v>#N/A</v>
      </c>
      <c r="O55" s="58" t="str">
        <f>IFERROR(__xludf.DUMMYFUNCTION("GOOGLEFINANCE(A55,""Change"")"),"#N/A")</f>
        <v>#N/A</v>
      </c>
      <c r="P55" s="59" t="str">
        <f>IFERROR(__xludf.DUMMYFUNCTION("GOOGLEFINANCE(A55,""High"")"),"#N/A")</f>
        <v>#N/A</v>
      </c>
      <c r="Q55" s="59" t="str">
        <f>IFERROR(__xludf.DUMMYFUNCTION("GOOGLEFINANCE(A55,""low"")"),"#N/A")</f>
        <v>#N/A</v>
      </c>
      <c r="R55" s="57" t="str">
        <f>IFERROR(__xludf.DUMMYFUNCTION("abs(P55-Q55)/GOOGLEFINANCE(A55,""closeyest"")"),"#N/A")</f>
        <v>#N/A</v>
      </c>
      <c r="S55" s="60" t="str">
        <f t="shared" si="8"/>
        <v>#N/A</v>
      </c>
      <c r="T55" s="61"/>
      <c r="U55" s="61"/>
      <c r="V55" s="63"/>
      <c r="W55" s="64" t="str">
        <f t="shared" si="9"/>
        <v>DATA UNAVAILABLE</v>
      </c>
      <c r="X55" s="65" t="str">
        <f>IFERROR(__xludf.DUMMYFUNCTION("GOOGLEFINANCE($A55,X$3)"),"#N/A")</f>
        <v>#N/A</v>
      </c>
      <c r="Y55" s="65" t="str">
        <f>IFERROR(__xludf.DUMMYFUNCTION("GOOGLEFINANCE($A55,Y$3)"),"#N/A")</f>
        <v>#N/A</v>
      </c>
      <c r="Z55" s="65" t="str">
        <f>IFERROR(__xludf.DUMMYFUNCTION("GOOGLEFINANCE($A55,Z$3)"),"#N/A")</f>
        <v>#N/A</v>
      </c>
      <c r="AA55" s="65" t="str">
        <f>IFERROR(__xludf.DUMMYFUNCTION("GOOGLEFINANCE($A55,AA$3)"),"#N/A")</f>
        <v>#N/A</v>
      </c>
      <c r="AB55" s="65" t="str">
        <f>IFERROR(__xludf.DUMMYFUNCTION("GOOGLEFINANCE($A55,AB$3)"),"#N/A")</f>
        <v>#N/A</v>
      </c>
      <c r="AC55" s="65" t="str">
        <f>IFERROR(__xludf.DUMMYFUNCTION("GOOGLEFINANCE($A55,AC$3)"),"#N/A")</f>
        <v>#N/A</v>
      </c>
      <c r="AD55" s="65" t="str">
        <f>IFERROR(__xludf.DUMMYFUNCTION("GOOGLEFINANCE($A55,AD$3)"),"#N/A")</f>
        <v>#N/A</v>
      </c>
      <c r="AE55" s="65" t="str">
        <f>IFERROR(__xludf.DUMMYFUNCTION("GOOGLEFINANCE($A55,AE$3)"),"#N/A")</f>
        <v>#N/A</v>
      </c>
      <c r="AF55" s="17"/>
      <c r="AG55" s="17"/>
      <c r="AH55" s="17"/>
      <c r="AI55" s="17"/>
      <c r="AJ55" s="17"/>
      <c r="AK55" s="17"/>
    </row>
  </sheetData>
  <conditionalFormatting sqref="N4:N55">
    <cfRule type="colorScale" priority="1">
      <colorScale>
        <cfvo type="percent" val="-100"/>
        <cfvo type="percentile" val="50"/>
        <cfvo type="percent" val="100"/>
        <color rgb="FFE67C73"/>
        <color rgb="FFFFFFFF"/>
        <color rgb="FF57BB8A"/>
      </colorScale>
    </cfRule>
  </conditionalFormatting>
  <conditionalFormatting sqref="R4:R55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V4:W55">
    <cfRule type="containsText" dxfId="0" priority="3" operator="containsText" text="TRADE ALERT">
      <formula>NOT(ISERROR(SEARCH(("TRADE ALERT"),(V4))))</formula>
    </cfRule>
  </conditionalFormatting>
  <conditionalFormatting sqref="S4:S55">
    <cfRule type="colorScale" priority="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N3:N55 K4:K55">
    <cfRule type="cellIs" dxfId="1" priority="5" operator="lessThan">
      <formula>"0%"</formula>
    </cfRule>
  </conditionalFormatting>
  <conditionalFormatting sqref="N3:N55 K4:K55">
    <cfRule type="cellIs" dxfId="2" priority="6" operator="equal">
      <formula>"0%"</formula>
    </cfRule>
  </conditionalFormatting>
  <conditionalFormatting sqref="N3:N55 K4:K55">
    <cfRule type="cellIs" dxfId="3" priority="7" operator="greaterThan">
      <formula>"0%"</formula>
    </cfRule>
  </conditionalFormatting>
  <conditionalFormatting sqref="J4:J31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1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4.25"/>
    <col customWidth="1" min="10" max="10" width="15.0"/>
    <col customWidth="1" min="11" max="11" width="15.5"/>
  </cols>
  <sheetData>
    <row r="1">
      <c r="B1" s="89"/>
    </row>
    <row r="2">
      <c r="A2" s="90" t="s">
        <v>51</v>
      </c>
    </row>
    <row r="4">
      <c r="B4" s="91" t="s">
        <v>52</v>
      </c>
      <c r="C4" s="92" t="s">
        <v>53</v>
      </c>
      <c r="D4" s="93"/>
      <c r="E4" s="93"/>
      <c r="F4" s="94" t="s">
        <v>54</v>
      </c>
      <c r="G4" s="95"/>
      <c r="I4" s="96" t="s">
        <v>52</v>
      </c>
      <c r="J4" s="92" t="s">
        <v>53</v>
      </c>
      <c r="K4" s="93"/>
      <c r="L4" s="93"/>
      <c r="M4" s="95"/>
    </row>
    <row r="5">
      <c r="B5" s="97" t="s">
        <v>55</v>
      </c>
      <c r="C5" s="98">
        <f>IFERROR(__xludf.DUMMYFUNCTION("GOOGLEFINANCE(B5)"),4.75)</f>
        <v>4.75</v>
      </c>
      <c r="D5" s="99" t="s">
        <v>56</v>
      </c>
      <c r="E5" s="100">
        <v>1000.0</v>
      </c>
      <c r="F5" s="17">
        <f>IFERROR(__xludf.DUMMYFUNCTION("GOOGLEFINANCE(""CURRENCY:GBPUSD"")"),1.35588)</f>
        <v>1.35588</v>
      </c>
      <c r="G5" s="101"/>
      <c r="I5" s="102" t="s">
        <v>57</v>
      </c>
      <c r="J5" s="103">
        <f>IFERROR(__xludf.DUMMYFUNCTION("GOOGLEFINANCE(I5)"),0.13)</f>
        <v>0.13</v>
      </c>
      <c r="K5" s="104" t="s">
        <v>56</v>
      </c>
      <c r="L5" s="105">
        <v>4000.0</v>
      </c>
      <c r="M5" s="106"/>
    </row>
    <row r="6">
      <c r="B6" s="107"/>
      <c r="C6" s="108" t="s">
        <v>19</v>
      </c>
      <c r="D6" s="108" t="s">
        <v>58</v>
      </c>
      <c r="E6" s="108" t="s">
        <v>59</v>
      </c>
      <c r="F6" s="109" t="s">
        <v>60</v>
      </c>
      <c r="G6" s="110" t="s">
        <v>61</v>
      </c>
      <c r="I6" s="111" t="str">
        <f>IFERROR(__xludf.DUMMYFUNCTION("GOOGLEFINANCE(I5,""name"")"),"Akwaaba Mining Ltd")</f>
        <v>Akwaaba Mining Ltd</v>
      </c>
      <c r="J6" s="108" t="s">
        <v>19</v>
      </c>
      <c r="K6" s="108" t="s">
        <v>58</v>
      </c>
      <c r="L6" s="108" t="s">
        <v>59</v>
      </c>
      <c r="M6" s="112" t="s">
        <v>62</v>
      </c>
    </row>
    <row r="7">
      <c r="B7" s="113" t="s">
        <v>63</v>
      </c>
      <c r="C7" s="114">
        <f t="shared" ref="C7:C9" si="1">round(F7*100/D7,0)</f>
        <v>6316</v>
      </c>
      <c r="D7" s="115">
        <f>C5</f>
        <v>4.75</v>
      </c>
      <c r="E7" s="17">
        <f t="shared" ref="E7:E9" si="2">C7*D7/100</f>
        <v>300.01</v>
      </c>
      <c r="F7" s="52">
        <v>300.0</v>
      </c>
      <c r="G7" s="116">
        <f>F7*F5</f>
        <v>406.764</v>
      </c>
      <c r="I7" s="117" t="s">
        <v>63</v>
      </c>
      <c r="J7" s="118">
        <f t="shared" ref="J7:J9" si="3">round(M7/K7*100,0)</f>
        <v>882</v>
      </c>
      <c r="K7" s="115">
        <v>170.0</v>
      </c>
      <c r="L7" s="17">
        <f t="shared" ref="L7:L9" si="4">J7*K7/100</f>
        <v>1499.4</v>
      </c>
      <c r="M7" s="119">
        <v>1500.0</v>
      </c>
    </row>
    <row r="8">
      <c r="B8" s="113" t="s">
        <v>64</v>
      </c>
      <c r="C8" s="114">
        <f t="shared" si="1"/>
        <v>15789</v>
      </c>
      <c r="D8" s="114">
        <f t="shared" ref="D8:D9" si="5">D7*0.4</f>
        <v>1.9</v>
      </c>
      <c r="E8" s="17">
        <f t="shared" si="2"/>
        <v>299.991</v>
      </c>
      <c r="F8" s="52">
        <v>300.0</v>
      </c>
      <c r="G8" s="116">
        <f>F8*F5</f>
        <v>406.764</v>
      </c>
      <c r="I8" s="117" t="s">
        <v>64</v>
      </c>
      <c r="J8" s="118">
        <f t="shared" si="3"/>
        <v>2941</v>
      </c>
      <c r="K8" s="114">
        <f>K7*0.3</f>
        <v>51</v>
      </c>
      <c r="L8" s="17">
        <f t="shared" si="4"/>
        <v>1499.91</v>
      </c>
      <c r="M8" s="119">
        <v>1500.0</v>
      </c>
    </row>
    <row r="9">
      <c r="B9" s="113" t="s">
        <v>65</v>
      </c>
      <c r="C9" s="114">
        <f t="shared" si="1"/>
        <v>52632</v>
      </c>
      <c r="D9" s="114">
        <f t="shared" si="5"/>
        <v>0.76</v>
      </c>
      <c r="E9" s="17">
        <f t="shared" si="2"/>
        <v>400.0032</v>
      </c>
      <c r="F9" s="52">
        <v>400.0</v>
      </c>
      <c r="G9" s="116">
        <f>F9*F5</f>
        <v>542.352</v>
      </c>
      <c r="I9" s="117" t="s">
        <v>65</v>
      </c>
      <c r="J9" s="114">
        <f t="shared" si="3"/>
        <v>3333</v>
      </c>
      <c r="K9" s="114">
        <v>30.0</v>
      </c>
      <c r="L9" s="17">
        <f t="shared" si="4"/>
        <v>999.9</v>
      </c>
      <c r="M9" s="119">
        <v>1000.0</v>
      </c>
    </row>
    <row r="10">
      <c r="B10" s="113" t="s">
        <v>66</v>
      </c>
      <c r="C10" s="114"/>
      <c r="D10" s="114"/>
      <c r="E10" s="17">
        <f>C10*D10</f>
        <v>0</v>
      </c>
      <c r="G10" s="101"/>
      <c r="I10" s="117" t="s">
        <v>66</v>
      </c>
      <c r="J10" s="114"/>
      <c r="K10" s="114"/>
      <c r="L10" s="17">
        <f>J10*K10</f>
        <v>0</v>
      </c>
      <c r="M10" s="120"/>
    </row>
    <row r="11">
      <c r="B11" s="121"/>
      <c r="C11" s="122">
        <f>sum(C7:C10)</f>
        <v>74737</v>
      </c>
      <c r="D11" s="123"/>
      <c r="E11" s="123">
        <f>sum(E7:E10)</f>
        <v>1000.0042</v>
      </c>
      <c r="F11" s="124"/>
      <c r="G11" s="101"/>
      <c r="I11" s="125"/>
      <c r="J11" s="122">
        <f>sum(J7:J10)</f>
        <v>7156</v>
      </c>
      <c r="K11" s="123"/>
      <c r="L11" s="123">
        <f>sum(L7:L10)</f>
        <v>3999.21</v>
      </c>
      <c r="M11" s="120"/>
    </row>
    <row r="12">
      <c r="B12" s="126"/>
      <c r="C12" s="127"/>
      <c r="D12" s="128" t="s">
        <v>67</v>
      </c>
      <c r="E12" s="129">
        <f>E11/C11</f>
        <v>0.01338030962</v>
      </c>
      <c r="F12" s="130"/>
      <c r="G12" s="131"/>
      <c r="I12" s="125"/>
      <c r="M12" s="132"/>
    </row>
    <row r="13">
      <c r="B13" s="89"/>
      <c r="I13" s="133"/>
      <c r="J13" s="134"/>
      <c r="K13" s="135" t="s">
        <v>67</v>
      </c>
      <c r="L13" s="136">
        <f>L11/J11</f>
        <v>0.5588610956</v>
      </c>
      <c r="M13" s="137"/>
    </row>
    <row r="14">
      <c r="B14" s="138" t="str">
        <f>IFERROR(__xludf.DUMMYFUNCTION("GOOGLEFINANCE(B15,""NAME"")"),"Manchester United PLC")</f>
        <v>Manchester United PLC</v>
      </c>
      <c r="C14" s="206"/>
      <c r="D14" s="271" t="s">
        <v>110</v>
      </c>
      <c r="E14" s="272">
        <f>E15*F15</f>
        <v>1355.88</v>
      </c>
      <c r="F14" s="207" t="s">
        <v>54</v>
      </c>
      <c r="G14" s="106"/>
    </row>
    <row r="15">
      <c r="B15" s="208" t="s">
        <v>97</v>
      </c>
      <c r="C15" s="98">
        <f>IFERROR(__xludf.DUMMYFUNCTION("GOOGLEFINANCE(B15)"),17.75)</f>
        <v>17.75</v>
      </c>
      <c r="D15" s="273" t="s">
        <v>111</v>
      </c>
      <c r="E15" s="274">
        <v>1000.0</v>
      </c>
      <c r="F15" s="194">
        <f>IFERROR(__xludf.DUMMYFUNCTION("GOOGLEFINANCE(""CURRENCY:GBPUSD"")"),1.35588)</f>
        <v>1.35588</v>
      </c>
      <c r="G15" s="120"/>
      <c r="I15" s="102" t="s">
        <v>70</v>
      </c>
      <c r="J15" s="103">
        <f>IFERROR(__xludf.DUMMYFUNCTION("GOOGLEFINANCE(I15)"),0.47)</f>
        <v>0.47</v>
      </c>
      <c r="K15" s="104" t="s">
        <v>56</v>
      </c>
      <c r="L15" s="105">
        <v>4000.0</v>
      </c>
      <c r="M15" s="106"/>
    </row>
    <row r="16">
      <c r="B16" s="111"/>
      <c r="C16" s="108" t="s">
        <v>19</v>
      </c>
      <c r="D16" s="108" t="s">
        <v>58</v>
      </c>
      <c r="E16" s="108" t="s">
        <v>71</v>
      </c>
      <c r="F16" s="152" t="s">
        <v>62</v>
      </c>
      <c r="G16" s="210" t="s">
        <v>112</v>
      </c>
      <c r="I16" s="111" t="str">
        <f>IFERROR(__xludf.DUMMYFUNCTION("GOOGLEFINANCE(I15,""name"")"),"Terrascend Corp")</f>
        <v>Terrascend Corp</v>
      </c>
      <c r="J16" s="108" t="s">
        <v>19</v>
      </c>
      <c r="K16" s="108" t="s">
        <v>58</v>
      </c>
      <c r="L16" s="108" t="s">
        <v>59</v>
      </c>
      <c r="M16" s="112" t="s">
        <v>62</v>
      </c>
    </row>
    <row r="17">
      <c r="B17" s="117" t="s">
        <v>63</v>
      </c>
      <c r="C17" s="155">
        <f t="shared" ref="C17:C19" si="6">round(G17/D17,0)</f>
        <v>23</v>
      </c>
      <c r="D17" s="115">
        <f>C15</f>
        <v>17.75</v>
      </c>
      <c r="E17" s="17">
        <f t="shared" ref="E17:E19" si="7">D17*C17</f>
        <v>408.25</v>
      </c>
      <c r="F17" s="196">
        <v>300.0</v>
      </c>
      <c r="G17" s="211">
        <f>F17*F15</f>
        <v>406.764</v>
      </c>
      <c r="I17" s="117" t="s">
        <v>63</v>
      </c>
      <c r="J17" s="114">
        <v>1236.0</v>
      </c>
      <c r="K17" s="115">
        <v>127.0</v>
      </c>
      <c r="L17" s="17">
        <f t="shared" ref="L17:L19" si="8">J17*K17/100</f>
        <v>1569.72</v>
      </c>
      <c r="M17" s="119">
        <v>1500.0</v>
      </c>
    </row>
    <row r="18">
      <c r="B18" s="117" t="s">
        <v>64</v>
      </c>
      <c r="C18" s="155">
        <f t="shared" si="6"/>
        <v>46</v>
      </c>
      <c r="D18" s="114">
        <f>D17*0.5</f>
        <v>8.875</v>
      </c>
      <c r="E18" s="17">
        <f t="shared" si="7"/>
        <v>408.25</v>
      </c>
      <c r="F18" s="196">
        <v>300.0</v>
      </c>
      <c r="G18" s="211">
        <f>F18*F15</f>
        <v>406.764</v>
      </c>
      <c r="I18" s="117" t="s">
        <v>64</v>
      </c>
      <c r="J18" s="114">
        <f t="shared" ref="J18:J19" si="9">round(M18/K18*100,0)</f>
        <v>2143</v>
      </c>
      <c r="K18" s="114">
        <v>70.0</v>
      </c>
      <c r="L18" s="17">
        <f t="shared" si="8"/>
        <v>1500.1</v>
      </c>
      <c r="M18" s="119">
        <v>1500.0</v>
      </c>
    </row>
    <row r="19">
      <c r="B19" s="117" t="s">
        <v>65</v>
      </c>
      <c r="C19" s="155">
        <f t="shared" si="6"/>
        <v>153</v>
      </c>
      <c r="D19" s="114">
        <f>D18*0.4</f>
        <v>3.55</v>
      </c>
      <c r="E19" s="17">
        <f t="shared" si="7"/>
        <v>543.15</v>
      </c>
      <c r="F19" s="196">
        <v>400.0</v>
      </c>
      <c r="G19" s="211">
        <f>F19*F15</f>
        <v>542.352</v>
      </c>
      <c r="I19" s="117" t="s">
        <v>65</v>
      </c>
      <c r="J19" s="114">
        <f t="shared" si="9"/>
        <v>10000</v>
      </c>
      <c r="K19" s="114">
        <v>20.0</v>
      </c>
      <c r="L19" s="17">
        <f t="shared" si="8"/>
        <v>2000</v>
      </c>
      <c r="M19" s="119">
        <v>2000.0</v>
      </c>
    </row>
    <row r="20">
      <c r="B20" s="117" t="s">
        <v>66</v>
      </c>
      <c r="C20" s="114"/>
      <c r="D20" s="114"/>
      <c r="E20" s="17">
        <f>C20*D20</f>
        <v>0</v>
      </c>
      <c r="F20" s="101"/>
      <c r="G20" s="120"/>
      <c r="I20" s="117" t="s">
        <v>66</v>
      </c>
      <c r="J20" s="114"/>
      <c r="K20" s="114"/>
      <c r="L20" s="17">
        <f>J20*K20</f>
        <v>0</v>
      </c>
      <c r="M20" s="120"/>
    </row>
    <row r="21">
      <c r="B21" s="133"/>
      <c r="C21" s="199">
        <f>sum(C17:C20)</f>
        <v>222</v>
      </c>
      <c r="D21" s="200"/>
      <c r="E21" s="275">
        <f>sum(E17:E20)</f>
        <v>1359.65</v>
      </c>
      <c r="F21" s="201"/>
      <c r="G21" s="137"/>
      <c r="I21" s="125"/>
      <c r="J21" s="122">
        <f>sum(J17:J20)</f>
        <v>13379</v>
      </c>
      <c r="K21" s="123"/>
      <c r="L21" s="123">
        <f>sum(L17:L20)</f>
        <v>5069.82</v>
      </c>
      <c r="M21" s="120"/>
    </row>
    <row r="22">
      <c r="B22" s="89"/>
      <c r="D22" s="100" t="s">
        <v>67</v>
      </c>
      <c r="E22" s="276">
        <f>E21/C21</f>
        <v>6.12454955</v>
      </c>
      <c r="F22" s="202"/>
      <c r="I22" s="125"/>
      <c r="M22" s="132"/>
    </row>
    <row r="23">
      <c r="B23" s="89"/>
      <c r="I23" s="133"/>
      <c r="J23" s="134"/>
      <c r="K23" s="135" t="s">
        <v>67</v>
      </c>
      <c r="L23" s="136">
        <f>L21/J21</f>
        <v>0.3789386352</v>
      </c>
      <c r="M23" s="137"/>
    </row>
    <row r="24">
      <c r="B24" s="89"/>
    </row>
    <row r="25">
      <c r="B25" s="138" t="s">
        <v>113</v>
      </c>
      <c r="C25" s="139"/>
      <c r="D25" s="277" t="s">
        <v>114</v>
      </c>
      <c r="E25" s="140">
        <v>630.1425</v>
      </c>
      <c r="F25" s="278" t="s">
        <v>54</v>
      </c>
      <c r="G25" s="142"/>
      <c r="I25" s="102" t="s">
        <v>72</v>
      </c>
      <c r="J25" s="103">
        <f>IFERROR(__xludf.DUMMYFUNCTION("GOOGLEFINANCE(I25)"),138.0)</f>
        <v>138</v>
      </c>
      <c r="K25" s="104" t="s">
        <v>56</v>
      </c>
      <c r="L25" s="105">
        <v>1000.0</v>
      </c>
      <c r="M25" s="106"/>
    </row>
    <row r="26">
      <c r="B26" s="143" t="s">
        <v>97</v>
      </c>
      <c r="C26" s="144">
        <v>15.48</v>
      </c>
      <c r="D26" s="279" t="s">
        <v>111</v>
      </c>
      <c r="E26" s="280">
        <v>500.0</v>
      </c>
      <c r="F26" s="147">
        <v>1.260285</v>
      </c>
      <c r="G26" s="148"/>
      <c r="I26" s="111"/>
      <c r="J26" s="108" t="s">
        <v>19</v>
      </c>
      <c r="K26" s="108" t="s">
        <v>58</v>
      </c>
      <c r="L26" s="108" t="s">
        <v>59</v>
      </c>
      <c r="M26" s="112" t="s">
        <v>62</v>
      </c>
    </row>
    <row r="27">
      <c r="B27" s="149"/>
      <c r="C27" s="281" t="s">
        <v>19</v>
      </c>
      <c r="D27" s="282" t="s">
        <v>58</v>
      </c>
      <c r="E27" s="282" t="s">
        <v>71</v>
      </c>
      <c r="F27" s="152" t="s">
        <v>62</v>
      </c>
      <c r="G27" s="283" t="s">
        <v>112</v>
      </c>
      <c r="I27" s="117" t="s">
        <v>63</v>
      </c>
      <c r="J27" s="114">
        <f t="shared" ref="J27:J29" si="10">round(M27/K27*100,0)</f>
        <v>229</v>
      </c>
      <c r="K27" s="115">
        <v>131.0</v>
      </c>
      <c r="L27" s="17">
        <f t="shared" ref="L27:L29" si="11">J27*K27/100</f>
        <v>299.99</v>
      </c>
      <c r="M27" s="119">
        <v>300.0</v>
      </c>
    </row>
    <row r="28">
      <c r="B28" s="284" t="s">
        <v>63</v>
      </c>
      <c r="C28" s="285">
        <v>10.0</v>
      </c>
      <c r="D28" s="156">
        <v>15.52</v>
      </c>
      <c r="E28" s="17">
        <f t="shared" ref="E28:E30" si="12">D28*C28</f>
        <v>155.2</v>
      </c>
      <c r="F28" s="157">
        <v>123.0</v>
      </c>
      <c r="G28" s="158">
        <f t="shared" ref="G28:G30" si="13">F28*$F$26</f>
        <v>155.015055</v>
      </c>
      <c r="I28" s="117" t="s">
        <v>64</v>
      </c>
      <c r="J28" s="114">
        <f t="shared" si="10"/>
        <v>286</v>
      </c>
      <c r="K28" s="114">
        <f t="shared" ref="K28:K29" si="14">K27*0.8</f>
        <v>104.8</v>
      </c>
      <c r="L28" s="17">
        <f t="shared" si="11"/>
        <v>299.728</v>
      </c>
      <c r="M28" s="119">
        <v>300.0</v>
      </c>
    </row>
    <row r="29">
      <c r="B29" s="286" t="s">
        <v>64</v>
      </c>
      <c r="C29" s="155">
        <f t="shared" ref="C29:C30" si="15">round(G29/D29,0)</f>
        <v>27</v>
      </c>
      <c r="D29" s="155">
        <v>7.0</v>
      </c>
      <c r="E29" s="17">
        <f t="shared" si="12"/>
        <v>189</v>
      </c>
      <c r="F29" s="157">
        <v>150.0</v>
      </c>
      <c r="G29" s="158">
        <f t="shared" si="13"/>
        <v>189.04275</v>
      </c>
      <c r="I29" s="117" t="s">
        <v>65</v>
      </c>
      <c r="J29" s="114">
        <f t="shared" si="10"/>
        <v>477</v>
      </c>
      <c r="K29" s="114">
        <f t="shared" si="14"/>
        <v>83.84</v>
      </c>
      <c r="L29" s="17">
        <f t="shared" si="11"/>
        <v>399.9168</v>
      </c>
      <c r="M29" s="119">
        <v>400.0</v>
      </c>
      <c r="N29" s="182"/>
      <c r="O29" s="183"/>
      <c r="P29" s="183"/>
    </row>
    <row r="30">
      <c r="B30" s="286" t="s">
        <v>65</v>
      </c>
      <c r="C30" s="155">
        <f t="shared" si="15"/>
        <v>81</v>
      </c>
      <c r="D30" s="155">
        <f>D29*0.5</f>
        <v>3.5</v>
      </c>
      <c r="E30" s="17">
        <f t="shared" si="12"/>
        <v>283.5</v>
      </c>
      <c r="F30" s="157">
        <v>225.0</v>
      </c>
      <c r="G30" s="158">
        <f t="shared" si="13"/>
        <v>283.564125</v>
      </c>
      <c r="I30" s="117" t="s">
        <v>66</v>
      </c>
      <c r="J30" s="114"/>
      <c r="K30" s="114"/>
      <c r="L30" s="17">
        <f>J30*K30</f>
        <v>0</v>
      </c>
      <c r="M30" s="120"/>
      <c r="N30" s="184"/>
      <c r="O30" s="183"/>
      <c r="P30" s="183"/>
    </row>
    <row r="31">
      <c r="B31" s="286" t="s">
        <v>66</v>
      </c>
      <c r="C31" s="155"/>
      <c r="D31" s="155"/>
      <c r="E31" s="163">
        <v>0.0</v>
      </c>
      <c r="F31" s="164"/>
      <c r="G31" s="165"/>
      <c r="I31" s="125"/>
      <c r="J31" s="122">
        <f>sum(J27:J30)</f>
        <v>992</v>
      </c>
      <c r="K31" s="123"/>
      <c r="L31" s="123">
        <f>sum(L27:L30)</f>
        <v>999.6348</v>
      </c>
      <c r="M31" s="120"/>
      <c r="N31" s="184"/>
      <c r="O31" s="183"/>
      <c r="P31" s="183"/>
    </row>
    <row r="32">
      <c r="B32" s="149"/>
      <c r="C32" s="287">
        <f>sum(C28:C30)</f>
        <v>118</v>
      </c>
      <c r="D32" s="167"/>
      <c r="E32" s="168">
        <f>sum(E28:E30)</f>
        <v>627.7</v>
      </c>
      <c r="F32" s="14"/>
      <c r="G32" s="165"/>
      <c r="I32" s="125"/>
      <c r="M32" s="132"/>
      <c r="N32" s="184"/>
      <c r="O32" s="183"/>
      <c r="P32" s="183"/>
    </row>
    <row r="33">
      <c r="B33" s="169"/>
      <c r="C33" s="164"/>
      <c r="D33" s="170"/>
      <c r="E33" s="171"/>
      <c r="F33" s="172"/>
      <c r="G33" s="165"/>
      <c r="I33" s="133"/>
      <c r="J33" s="134"/>
      <c r="K33" s="135" t="s">
        <v>67</v>
      </c>
      <c r="L33" s="136">
        <f>L31/J31</f>
        <v>1.007696371</v>
      </c>
      <c r="M33" s="137"/>
      <c r="N33" s="183"/>
      <c r="O33" s="183"/>
      <c r="P33" s="183"/>
    </row>
    <row r="34">
      <c r="B34" s="173"/>
      <c r="C34" s="174"/>
      <c r="D34" s="175" t="s">
        <v>67</v>
      </c>
      <c r="E34" s="176">
        <f>E32/C32</f>
        <v>5.319491525</v>
      </c>
      <c r="F34" s="177"/>
      <c r="G34" s="178"/>
    </row>
    <row r="35">
      <c r="B35" s="89"/>
      <c r="D35" s="182"/>
      <c r="E35" s="186"/>
      <c r="I35" s="102" t="s">
        <v>73</v>
      </c>
      <c r="J35" s="103">
        <f>IFERROR(__xludf.DUMMYFUNCTION("GOOGLEFINANCE(I35)"),406.1)</f>
        <v>406.1</v>
      </c>
      <c r="K35" s="104" t="s">
        <v>56</v>
      </c>
      <c r="L35" s="105">
        <v>1000.0</v>
      </c>
      <c r="M35" s="106"/>
      <c r="N35" s="187"/>
    </row>
    <row r="36">
      <c r="B36" s="138" t="str">
        <f>IFERROR(__xludf.DUMMYFUNCTION("GOOGLEFINANCE(B37,""NAME"")"),"Eventbrite Inc")</f>
        <v>Eventbrite Inc</v>
      </c>
      <c r="C36" s="206"/>
      <c r="D36" s="206"/>
      <c r="E36" s="206"/>
      <c r="F36" s="207" t="s">
        <v>54</v>
      </c>
      <c r="G36" s="106"/>
      <c r="I36" s="111"/>
      <c r="J36" s="108" t="s">
        <v>19</v>
      </c>
      <c r="K36" s="108" t="s">
        <v>58</v>
      </c>
      <c r="L36" s="108" t="s">
        <v>59</v>
      </c>
      <c r="M36" s="112" t="s">
        <v>62</v>
      </c>
      <c r="N36" s="191"/>
    </row>
    <row r="37">
      <c r="B37" s="208" t="s">
        <v>115</v>
      </c>
      <c r="C37" s="98">
        <f>IFERROR(__xludf.DUMMYFUNCTION("GOOGLEFINANCE(B37)"),4.41)</f>
        <v>4.41</v>
      </c>
      <c r="D37" s="192" t="s">
        <v>56</v>
      </c>
      <c r="E37" s="209">
        <v>500.0</v>
      </c>
      <c r="F37" s="194">
        <f>IFERROR(__xludf.DUMMYFUNCTION("GOOGLEFINANCE(""CURRENCY:GBPUSD"")"),1.35588)</f>
        <v>1.35588</v>
      </c>
      <c r="G37" s="120"/>
      <c r="I37" s="117" t="s">
        <v>63</v>
      </c>
      <c r="J37" s="114">
        <f t="shared" ref="J37:J39" si="16">round(M37/K37*100,0)</f>
        <v>74</v>
      </c>
      <c r="K37" s="115">
        <f>J35</f>
        <v>406.1</v>
      </c>
      <c r="L37" s="17">
        <f t="shared" ref="L37:L39" si="17">J37*K37/100</f>
        <v>300.514</v>
      </c>
      <c r="M37" s="119">
        <v>300.0</v>
      </c>
      <c r="N37" s="17"/>
    </row>
    <row r="38">
      <c r="B38" s="111"/>
      <c r="C38" s="108" t="s">
        <v>19</v>
      </c>
      <c r="D38" s="108" t="s">
        <v>58</v>
      </c>
      <c r="E38" s="108" t="s">
        <v>71</v>
      </c>
      <c r="F38" s="152" t="s">
        <v>62</v>
      </c>
      <c r="G38" s="210" t="s">
        <v>61</v>
      </c>
      <c r="I38" s="117" t="s">
        <v>64</v>
      </c>
      <c r="J38" s="114">
        <f t="shared" si="16"/>
        <v>148</v>
      </c>
      <c r="K38" s="114">
        <f t="shared" ref="K38:K39" si="18">K37*0.5</f>
        <v>203.05</v>
      </c>
      <c r="L38" s="17">
        <f t="shared" si="17"/>
        <v>300.514</v>
      </c>
      <c r="M38" s="119">
        <v>300.0</v>
      </c>
      <c r="N38" s="17"/>
    </row>
    <row r="39">
      <c r="B39" s="117" t="s">
        <v>63</v>
      </c>
      <c r="C39" s="155">
        <f t="shared" ref="C39:C41" si="19">round(G39/D39,0)</f>
        <v>29</v>
      </c>
      <c r="D39" s="115">
        <v>11.88</v>
      </c>
      <c r="E39" s="17">
        <f t="shared" ref="E39:E41" si="20">D39*C39</f>
        <v>344.52</v>
      </c>
      <c r="F39" s="196">
        <v>250.0</v>
      </c>
      <c r="G39" s="211">
        <f>F39*F37</f>
        <v>338.97</v>
      </c>
      <c r="I39" s="117" t="s">
        <v>65</v>
      </c>
      <c r="J39" s="114">
        <f t="shared" si="16"/>
        <v>394</v>
      </c>
      <c r="K39" s="114">
        <f t="shared" si="18"/>
        <v>101.525</v>
      </c>
      <c r="L39" s="17">
        <f t="shared" si="17"/>
        <v>400.0085</v>
      </c>
      <c r="M39" s="119">
        <v>400.0</v>
      </c>
      <c r="N39" s="17"/>
    </row>
    <row r="40">
      <c r="B40" s="117" t="s">
        <v>64</v>
      </c>
      <c r="C40" s="155">
        <f t="shared" si="19"/>
        <v>95</v>
      </c>
      <c r="D40" s="114">
        <f>D39*0.3</f>
        <v>3.564</v>
      </c>
      <c r="E40" s="17">
        <f t="shared" si="20"/>
        <v>338.58</v>
      </c>
      <c r="F40" s="196">
        <v>250.0</v>
      </c>
      <c r="G40" s="211">
        <f>F40*F37</f>
        <v>338.97</v>
      </c>
      <c r="I40" s="117" t="s">
        <v>66</v>
      </c>
      <c r="J40" s="114"/>
      <c r="K40" s="114"/>
      <c r="L40" s="17">
        <f>J40*K40</f>
        <v>0</v>
      </c>
      <c r="M40" s="120"/>
      <c r="N40" s="197"/>
    </row>
    <row r="41">
      <c r="B41" s="288" t="s">
        <v>65</v>
      </c>
      <c r="C41" s="289">
        <f t="shared" si="19"/>
        <v>190</v>
      </c>
      <c r="D41" s="290">
        <f>D40*0.5</f>
        <v>1.782</v>
      </c>
      <c r="E41" s="291">
        <f t="shared" si="20"/>
        <v>338.58</v>
      </c>
      <c r="F41" s="292">
        <v>250.0</v>
      </c>
      <c r="G41" s="293">
        <f>F41*F37</f>
        <v>338.97</v>
      </c>
      <c r="I41" s="125"/>
      <c r="J41" s="122">
        <f>sum(J37:J40)</f>
        <v>616</v>
      </c>
      <c r="K41" s="123"/>
      <c r="L41" s="123">
        <f>sum(L37:L40)</f>
        <v>1001.0365</v>
      </c>
      <c r="M41" s="120"/>
    </row>
    <row r="42">
      <c r="B42" s="117" t="s">
        <v>66</v>
      </c>
      <c r="C42" s="114"/>
      <c r="D42" s="114"/>
      <c r="E42" s="17">
        <f>C42*D42</f>
        <v>0</v>
      </c>
      <c r="F42" s="101"/>
      <c r="G42" s="120"/>
      <c r="I42" s="125"/>
      <c r="M42" s="132"/>
    </row>
    <row r="43">
      <c r="B43" s="133"/>
      <c r="C43" s="199">
        <f>sum(C39:C42)</f>
        <v>314</v>
      </c>
      <c r="D43" s="200"/>
      <c r="E43" s="200">
        <f>sum(E39:E42)</f>
        <v>1021.68</v>
      </c>
      <c r="F43" s="201"/>
      <c r="G43" s="137"/>
      <c r="I43" s="133"/>
      <c r="J43" s="134"/>
      <c r="K43" s="135" t="s">
        <v>67</v>
      </c>
      <c r="L43" s="136">
        <f>L41/J41</f>
        <v>1.625059253</v>
      </c>
      <c r="M43" s="137"/>
    </row>
    <row r="44">
      <c r="B44" s="89"/>
      <c r="D44" s="182"/>
      <c r="E44" s="186"/>
      <c r="F44" s="202"/>
    </row>
    <row r="45">
      <c r="B45" s="89"/>
      <c r="D45" s="212" t="s">
        <v>67</v>
      </c>
      <c r="E45" s="213">
        <f>E43/C43</f>
        <v>3.253757962</v>
      </c>
      <c r="I45" s="102" t="s">
        <v>73</v>
      </c>
      <c r="J45" s="103">
        <f>IFERROR(__xludf.DUMMYFUNCTION("GOOGLEFINANCE(I45)"),406.1)</f>
        <v>406.1</v>
      </c>
      <c r="K45" s="104" t="s">
        <v>56</v>
      </c>
      <c r="L45" s="105">
        <v>1000.0</v>
      </c>
      <c r="M45" s="106"/>
    </row>
    <row r="46">
      <c r="B46" s="89"/>
      <c r="D46" s="204"/>
      <c r="E46" s="205"/>
      <c r="I46" s="111"/>
      <c r="J46" s="108" t="s">
        <v>19</v>
      </c>
      <c r="K46" s="108" t="s">
        <v>58</v>
      </c>
      <c r="L46" s="108" t="s">
        <v>59</v>
      </c>
      <c r="M46" s="112" t="s">
        <v>62</v>
      </c>
    </row>
    <row r="47">
      <c r="B47" s="138" t="str">
        <f>IFERROR(__xludf.DUMMYFUNCTION("GOOGLEFINANCE(B48,""NAME"")"),"Sonos Inc")</f>
        <v>Sonos Inc</v>
      </c>
      <c r="C47" s="206"/>
      <c r="D47" s="206"/>
      <c r="E47" s="206"/>
      <c r="F47" s="207" t="s">
        <v>54</v>
      </c>
      <c r="G47" s="106"/>
      <c r="I47" s="117" t="s">
        <v>63</v>
      </c>
      <c r="J47" s="114">
        <f t="shared" ref="J47:J49" si="21">round(M47/K47*100,0)</f>
        <v>74</v>
      </c>
      <c r="K47" s="115">
        <f>J45</f>
        <v>406.1</v>
      </c>
      <c r="L47" s="17">
        <f t="shared" ref="L47:L49" si="22">J47*K47/100</f>
        <v>300.514</v>
      </c>
      <c r="M47" s="119">
        <v>300.0</v>
      </c>
    </row>
    <row r="48">
      <c r="B48" s="208" t="s">
        <v>78</v>
      </c>
      <c r="C48" s="98">
        <f>IFERROR(__xludf.DUMMYFUNCTION("GOOGLEFINANCE(B48)"),15.52)</f>
        <v>15.52</v>
      </c>
      <c r="D48" s="192" t="s">
        <v>56</v>
      </c>
      <c r="E48" s="209">
        <v>500.0</v>
      </c>
      <c r="F48" s="194">
        <f>IFERROR(__xludf.DUMMYFUNCTION("GOOGLEFINANCE(""CURRENCY:GBPUSD"")"),1.35588)</f>
        <v>1.35588</v>
      </c>
      <c r="G48" s="120"/>
      <c r="I48" s="117" t="s">
        <v>64</v>
      </c>
      <c r="J48" s="114">
        <f t="shared" si="21"/>
        <v>148</v>
      </c>
      <c r="K48" s="114">
        <f t="shared" ref="K48:K49" si="23">K47*0.5</f>
        <v>203.05</v>
      </c>
      <c r="L48" s="17">
        <f t="shared" si="22"/>
        <v>300.514</v>
      </c>
      <c r="M48" s="119">
        <v>300.0</v>
      </c>
    </row>
    <row r="49">
      <c r="B49" s="111"/>
      <c r="C49" s="108" t="s">
        <v>19</v>
      </c>
      <c r="D49" s="108" t="s">
        <v>58</v>
      </c>
      <c r="E49" s="108" t="s">
        <v>71</v>
      </c>
      <c r="F49" s="152" t="s">
        <v>62</v>
      </c>
      <c r="G49" s="210" t="s">
        <v>61</v>
      </c>
      <c r="I49" s="117" t="s">
        <v>65</v>
      </c>
      <c r="J49" s="114">
        <f t="shared" si="21"/>
        <v>394</v>
      </c>
      <c r="K49" s="114">
        <f t="shared" si="23"/>
        <v>101.525</v>
      </c>
      <c r="L49" s="17">
        <f t="shared" si="22"/>
        <v>400.0085</v>
      </c>
      <c r="M49" s="119">
        <v>400.0</v>
      </c>
    </row>
    <row r="50">
      <c r="B50" s="117" t="s">
        <v>63</v>
      </c>
      <c r="C50" s="155">
        <f t="shared" ref="C50:C52" si="24">round(G50/D50,0)</f>
        <v>123</v>
      </c>
      <c r="D50" s="115">
        <v>1.1</v>
      </c>
      <c r="E50" s="17">
        <f t="shared" ref="E50:E52" si="25">D50*C50</f>
        <v>135.3</v>
      </c>
      <c r="F50" s="196">
        <v>100.0</v>
      </c>
      <c r="G50" s="211">
        <f>F50*F48</f>
        <v>135.588</v>
      </c>
      <c r="I50" s="117" t="s">
        <v>66</v>
      </c>
      <c r="J50" s="114"/>
      <c r="K50" s="114"/>
      <c r="L50" s="17">
        <f>J50*K50</f>
        <v>0</v>
      </c>
      <c r="M50" s="120"/>
    </row>
    <row r="51">
      <c r="B51" s="117" t="s">
        <v>64</v>
      </c>
      <c r="C51" s="155">
        <f t="shared" si="24"/>
        <v>370</v>
      </c>
      <c r="D51" s="114">
        <f t="shared" ref="D51:D52" si="26">D50*0.5</f>
        <v>0.55</v>
      </c>
      <c r="E51" s="17">
        <f t="shared" si="25"/>
        <v>203.5</v>
      </c>
      <c r="F51" s="196">
        <v>150.0</v>
      </c>
      <c r="G51" s="211">
        <f>F51*F48</f>
        <v>203.382</v>
      </c>
      <c r="I51" s="125"/>
      <c r="J51" s="122">
        <f>sum(J47:J50)</f>
        <v>616</v>
      </c>
      <c r="K51" s="123"/>
      <c r="L51" s="123">
        <f>sum(L47:L50)</f>
        <v>1001.0365</v>
      </c>
      <c r="M51" s="120"/>
    </row>
    <row r="52">
      <c r="B52" s="117" t="s">
        <v>65</v>
      </c>
      <c r="C52" s="155">
        <f t="shared" si="24"/>
        <v>1233</v>
      </c>
      <c r="D52" s="114">
        <f t="shared" si="26"/>
        <v>0.275</v>
      </c>
      <c r="E52" s="17">
        <f t="shared" si="25"/>
        <v>339.075</v>
      </c>
      <c r="F52" s="196">
        <v>250.0</v>
      </c>
      <c r="G52" s="211">
        <f>F52*F48</f>
        <v>338.97</v>
      </c>
      <c r="I52" s="125"/>
      <c r="M52" s="132"/>
    </row>
    <row r="53">
      <c r="B53" s="117" t="s">
        <v>66</v>
      </c>
      <c r="C53" s="114"/>
      <c r="D53" s="114"/>
      <c r="E53" s="17">
        <f>C53*D53</f>
        <v>0</v>
      </c>
      <c r="F53" s="101"/>
      <c r="G53" s="120"/>
      <c r="I53" s="133"/>
      <c r="J53" s="134"/>
      <c r="K53" s="135" t="s">
        <v>67</v>
      </c>
      <c r="L53" s="136">
        <f>L51/J51</f>
        <v>1.625059253</v>
      </c>
      <c r="M53" s="137"/>
    </row>
    <row r="54">
      <c r="B54" s="133"/>
      <c r="C54" s="199">
        <f>sum(C50:C53)</f>
        <v>1726</v>
      </c>
      <c r="D54" s="200"/>
      <c r="E54" s="200">
        <f>sum(E50:E53)</f>
        <v>677.875</v>
      </c>
      <c r="F54" s="201"/>
      <c r="G54" s="137"/>
    </row>
    <row r="55">
      <c r="B55" s="89"/>
      <c r="D55" s="182"/>
      <c r="E55" s="186"/>
      <c r="F55" s="202"/>
      <c r="I55" s="102" t="s">
        <v>73</v>
      </c>
      <c r="J55" s="103">
        <f>IFERROR(__xludf.DUMMYFUNCTION("GOOGLEFINANCE(I55)"),406.1)</f>
        <v>406.1</v>
      </c>
      <c r="K55" s="104" t="s">
        <v>56</v>
      </c>
      <c r="L55" s="105">
        <v>1000.0</v>
      </c>
      <c r="M55" s="106"/>
    </row>
    <row r="56">
      <c r="B56" s="89"/>
      <c r="D56" s="212" t="s">
        <v>67</v>
      </c>
      <c r="E56" s="213">
        <f>E54/C54</f>
        <v>0.3927433372</v>
      </c>
      <c r="I56" s="111"/>
      <c r="J56" s="108" t="s">
        <v>19</v>
      </c>
      <c r="K56" s="108" t="s">
        <v>58</v>
      </c>
      <c r="L56" s="108" t="s">
        <v>59</v>
      </c>
      <c r="M56" s="112" t="s">
        <v>62</v>
      </c>
    </row>
    <row r="57">
      <c r="B57" s="214"/>
      <c r="C57" s="215"/>
      <c r="D57" s="215"/>
      <c r="E57" s="191"/>
      <c r="I57" s="117" t="s">
        <v>63</v>
      </c>
      <c r="J57" s="114">
        <f t="shared" ref="J57:J59" si="27">round(M57/K57*100,0)</f>
        <v>74</v>
      </c>
      <c r="K57" s="115">
        <f>J55</f>
        <v>406.1</v>
      </c>
      <c r="L57" s="17">
        <f t="shared" ref="L57:L59" si="28">J57*K57/100</f>
        <v>300.514</v>
      </c>
      <c r="M57" s="119">
        <v>300.0</v>
      </c>
    </row>
    <row r="58">
      <c r="B58" s="138" t="str">
        <f>IFERROR(__xludf.DUMMYFUNCTION("GOOGLEFINANCE(B59,""NAME"")"),"#N/A")</f>
        <v>#N/A</v>
      </c>
      <c r="C58" s="206"/>
      <c r="D58" s="206"/>
      <c r="E58" s="294">
        <f>E59*F59</f>
        <v>572.1275</v>
      </c>
      <c r="F58" s="207" t="s">
        <v>74</v>
      </c>
      <c r="G58" s="106"/>
      <c r="I58" s="117" t="s">
        <v>64</v>
      </c>
      <c r="J58" s="114">
        <f t="shared" si="27"/>
        <v>148</v>
      </c>
      <c r="K58" s="114">
        <f t="shared" ref="K58:K59" si="29">K57*0.5</f>
        <v>203.05</v>
      </c>
      <c r="L58" s="17">
        <f t="shared" si="28"/>
        <v>300.514</v>
      </c>
      <c r="M58" s="119">
        <v>300.0</v>
      </c>
    </row>
    <row r="59">
      <c r="B59" s="208" t="s">
        <v>116</v>
      </c>
      <c r="C59" s="98" t="str">
        <f>IFERROR(__xludf.DUMMYFUNCTION("GOOGLEFINANCE(B59)"),"#N/A")</f>
        <v>#N/A</v>
      </c>
      <c r="D59" s="192" t="s">
        <v>56</v>
      </c>
      <c r="E59" s="193">
        <v>500.0</v>
      </c>
      <c r="F59" s="194">
        <f>IFERROR(__xludf.DUMMYFUNCTION("GOOGLEFINANCE(""CURRENCY:GBPEUR"")"),1.144255)</f>
        <v>1.144255</v>
      </c>
      <c r="G59" s="120"/>
      <c r="I59" s="117" t="s">
        <v>65</v>
      </c>
      <c r="J59" s="114">
        <f t="shared" si="27"/>
        <v>394</v>
      </c>
      <c r="K59" s="114">
        <f t="shared" si="29"/>
        <v>101.525</v>
      </c>
      <c r="L59" s="17">
        <f t="shared" si="28"/>
        <v>400.0085</v>
      </c>
      <c r="M59" s="119">
        <v>400.0</v>
      </c>
    </row>
    <row r="60">
      <c r="B60" s="111"/>
      <c r="C60" s="108" t="s">
        <v>19</v>
      </c>
      <c r="D60" s="108" t="s">
        <v>58</v>
      </c>
      <c r="E60" s="108" t="s">
        <v>76</v>
      </c>
      <c r="F60" s="152" t="s">
        <v>62</v>
      </c>
      <c r="G60" s="210" t="s">
        <v>77</v>
      </c>
      <c r="I60" s="117" t="s">
        <v>66</v>
      </c>
      <c r="J60" s="114"/>
      <c r="K60" s="114"/>
      <c r="L60" s="17">
        <f>J60*K60</f>
        <v>0</v>
      </c>
      <c r="M60" s="120"/>
    </row>
    <row r="61">
      <c r="B61" s="117" t="s">
        <v>63</v>
      </c>
      <c r="C61" s="155">
        <f t="shared" ref="C61:C63" si="30">round(G61/D61,0)</f>
        <v>282</v>
      </c>
      <c r="D61" s="115">
        <v>3.4</v>
      </c>
      <c r="E61" s="17">
        <f t="shared" ref="E61:E63" si="31">D61*C61</f>
        <v>958.8</v>
      </c>
      <c r="F61" s="196">
        <v>838.0</v>
      </c>
      <c r="G61" s="211">
        <f>F61*F59</f>
        <v>958.88569</v>
      </c>
      <c r="I61" s="125"/>
      <c r="J61" s="122">
        <f>sum(J57:J60)</f>
        <v>616</v>
      </c>
      <c r="K61" s="123"/>
      <c r="L61" s="123">
        <f>sum(L57:L60)</f>
        <v>1001.0365</v>
      </c>
      <c r="M61" s="120"/>
    </row>
    <row r="62">
      <c r="B62" s="117" t="s">
        <v>64</v>
      </c>
      <c r="C62" s="155">
        <f t="shared" si="30"/>
        <v>673</v>
      </c>
      <c r="D62" s="114">
        <f>D61*0.4</f>
        <v>1.36</v>
      </c>
      <c r="E62" s="17">
        <f t="shared" si="31"/>
        <v>915.28</v>
      </c>
      <c r="F62" s="196">
        <v>800.0</v>
      </c>
      <c r="G62" s="211">
        <f>F62*F59</f>
        <v>915.404</v>
      </c>
      <c r="I62" s="125"/>
      <c r="M62" s="132"/>
    </row>
    <row r="63">
      <c r="B63" s="117" t="s">
        <v>65</v>
      </c>
      <c r="C63" s="155">
        <f t="shared" si="30"/>
        <v>0</v>
      </c>
      <c r="D63" s="114">
        <f>D62*0.9</f>
        <v>1.224</v>
      </c>
      <c r="E63" s="17">
        <f t="shared" si="31"/>
        <v>0</v>
      </c>
      <c r="F63" s="196">
        <v>0.0</v>
      </c>
      <c r="G63" s="211">
        <f>F63*F59</f>
        <v>0</v>
      </c>
      <c r="I63" s="133"/>
      <c r="J63" s="134"/>
      <c r="K63" s="135" t="s">
        <v>67</v>
      </c>
      <c r="L63" s="136">
        <f>L61/J61</f>
        <v>1.625059253</v>
      </c>
      <c r="M63" s="137"/>
    </row>
    <row r="64">
      <c r="B64" s="117" t="s">
        <v>66</v>
      </c>
      <c r="C64" s="114"/>
      <c r="D64" s="114"/>
      <c r="E64" s="17">
        <f>C64*D64</f>
        <v>0</v>
      </c>
      <c r="F64" s="101"/>
      <c r="G64" s="120"/>
    </row>
    <row r="65">
      <c r="B65" s="133"/>
      <c r="C65" s="199">
        <f>sum(C61:C64)</f>
        <v>955</v>
      </c>
      <c r="D65" s="200"/>
      <c r="E65" s="200">
        <f>sum(E61:E64)</f>
        <v>1874.08</v>
      </c>
      <c r="F65" s="201"/>
      <c r="G65" s="137"/>
      <c r="I65" s="102" t="s">
        <v>73</v>
      </c>
      <c r="J65" s="103">
        <f>IFERROR(__xludf.DUMMYFUNCTION("GOOGLEFINANCE(I65)"),406.1)</f>
        <v>406.1</v>
      </c>
      <c r="K65" s="104" t="s">
        <v>56</v>
      </c>
      <c r="L65" s="105">
        <v>1000.0</v>
      </c>
      <c r="M65" s="106"/>
    </row>
    <row r="66">
      <c r="B66" s="89"/>
      <c r="I66" s="111"/>
      <c r="J66" s="108" t="s">
        <v>19</v>
      </c>
      <c r="K66" s="108" t="s">
        <v>58</v>
      </c>
      <c r="L66" s="108" t="s">
        <v>59</v>
      </c>
      <c r="M66" s="112" t="s">
        <v>62</v>
      </c>
      <c r="N66" s="216"/>
    </row>
    <row r="67">
      <c r="B67" s="217" t="str">
        <f>IFERROR(__xludf.DUMMYFUNCTION("GOOGLEFINANCE(B68,""NAME"")"),"IDEX Metals Corp")</f>
        <v>IDEX Metals Corp</v>
      </c>
      <c r="C67" s="139"/>
      <c r="D67" s="218"/>
      <c r="E67" s="218"/>
      <c r="F67" s="219" t="s">
        <v>54</v>
      </c>
      <c r="G67" s="142"/>
      <c r="I67" s="117" t="s">
        <v>63</v>
      </c>
      <c r="J67" s="114">
        <f t="shared" ref="J67:J69" si="32">round(M67/K67*100,0)</f>
        <v>74</v>
      </c>
      <c r="K67" s="115">
        <f>J65</f>
        <v>406.1</v>
      </c>
      <c r="L67" s="17">
        <f t="shared" ref="L67:L69" si="33">J67*K67/100</f>
        <v>300.514</v>
      </c>
      <c r="M67" s="119">
        <v>300.0</v>
      </c>
    </row>
    <row r="68">
      <c r="B68" s="220" t="s">
        <v>80</v>
      </c>
      <c r="C68" s="221">
        <f>IFERROR(__xludf.DUMMYFUNCTION("GOOGLEFINANCE(B68)"),0.47)</f>
        <v>0.47</v>
      </c>
      <c r="D68" s="222" t="s">
        <v>56</v>
      </c>
      <c r="E68" s="223">
        <v>500.0</v>
      </c>
      <c r="F68" s="224">
        <f>IFERROR(__xludf.DUMMYFUNCTION("GOOGLEFINANCE(""CURRENCY:GBPUSD"")"),1.35588)</f>
        <v>1.35588</v>
      </c>
      <c r="G68" s="165"/>
      <c r="I68" s="117" t="s">
        <v>64</v>
      </c>
      <c r="J68" s="114">
        <f t="shared" si="32"/>
        <v>148</v>
      </c>
      <c r="K68" s="114">
        <f t="shared" ref="K68:K69" si="34">K67*0.5</f>
        <v>203.05</v>
      </c>
      <c r="L68" s="17">
        <f t="shared" si="33"/>
        <v>300.514</v>
      </c>
      <c r="M68" s="119">
        <v>300.0</v>
      </c>
    </row>
    <row r="69">
      <c r="B69" s="169"/>
      <c r="C69" s="150" t="s">
        <v>19</v>
      </c>
      <c r="D69" s="150" t="s">
        <v>58</v>
      </c>
      <c r="E69" s="150" t="s">
        <v>71</v>
      </c>
      <c r="F69" s="225" t="s">
        <v>62</v>
      </c>
      <c r="G69" s="226" t="s">
        <v>61</v>
      </c>
      <c r="I69" s="117" t="s">
        <v>65</v>
      </c>
      <c r="J69" s="114">
        <f t="shared" si="32"/>
        <v>394</v>
      </c>
      <c r="K69" s="114">
        <f t="shared" si="34"/>
        <v>101.525</v>
      </c>
      <c r="L69" s="17">
        <f t="shared" si="33"/>
        <v>400.0085</v>
      </c>
      <c r="M69" s="119">
        <v>400.0</v>
      </c>
    </row>
    <row r="70">
      <c r="B70" s="154" t="s">
        <v>63</v>
      </c>
      <c r="C70" s="227">
        <f t="shared" ref="C70:C72" si="35">round(G70/D70,0)</f>
        <v>123</v>
      </c>
      <c r="D70" s="228">
        <v>1.1</v>
      </c>
      <c r="E70" s="163">
        <f t="shared" ref="E70:E72" si="36">D70*C70</f>
        <v>135.3</v>
      </c>
      <c r="F70" s="229">
        <v>100.0</v>
      </c>
      <c r="G70" s="162">
        <f>F70*F68</f>
        <v>135.588</v>
      </c>
      <c r="I70" s="117" t="s">
        <v>66</v>
      </c>
      <c r="J70" s="114"/>
      <c r="K70" s="114"/>
      <c r="L70" s="17">
        <f>J70*K70</f>
        <v>0</v>
      </c>
      <c r="M70" s="120"/>
    </row>
    <row r="71">
      <c r="B71" s="154" t="s">
        <v>64</v>
      </c>
      <c r="C71" s="227">
        <f t="shared" si="35"/>
        <v>370</v>
      </c>
      <c r="D71" s="227">
        <f t="shared" ref="D71:D72" si="37">D70*0.5</f>
        <v>0.55</v>
      </c>
      <c r="E71" s="163">
        <f t="shared" si="36"/>
        <v>203.5</v>
      </c>
      <c r="F71" s="229">
        <v>150.0</v>
      </c>
      <c r="G71" s="162">
        <f>F71*F68</f>
        <v>203.382</v>
      </c>
      <c r="I71" s="125"/>
      <c r="J71" s="122">
        <f>sum(J67:J70)</f>
        <v>616</v>
      </c>
      <c r="K71" s="123"/>
      <c r="L71" s="123">
        <f>sum(L67:L70)</f>
        <v>1001.0365</v>
      </c>
      <c r="M71" s="120"/>
    </row>
    <row r="72">
      <c r="B72" s="154" t="s">
        <v>65</v>
      </c>
      <c r="C72" s="227">
        <f t="shared" si="35"/>
        <v>1233</v>
      </c>
      <c r="D72" s="227">
        <f t="shared" si="37"/>
        <v>0.275</v>
      </c>
      <c r="E72" s="163">
        <f t="shared" si="36"/>
        <v>339.075</v>
      </c>
      <c r="F72" s="229">
        <v>250.0</v>
      </c>
      <c r="G72" s="162">
        <f>F72*F68</f>
        <v>338.97</v>
      </c>
      <c r="I72" s="125"/>
      <c r="M72" s="132"/>
    </row>
    <row r="73">
      <c r="B73" s="154" t="s">
        <v>66</v>
      </c>
      <c r="C73" s="230"/>
      <c r="D73" s="230"/>
      <c r="E73" s="231">
        <f>C73*D73</f>
        <v>0</v>
      </c>
      <c r="F73" s="232"/>
      <c r="G73" s="165"/>
      <c r="I73" s="133"/>
      <c r="J73" s="134"/>
      <c r="K73" s="135" t="s">
        <v>67</v>
      </c>
      <c r="L73" s="136">
        <f>L71/J71</f>
        <v>1.625059253</v>
      </c>
      <c r="M73" s="137"/>
    </row>
    <row r="74">
      <c r="B74" s="173"/>
      <c r="C74" s="233">
        <f>sum(C70:C73)</f>
        <v>1726</v>
      </c>
      <c r="D74" s="174"/>
      <c r="E74" s="174">
        <f>sum(E70:E73)</f>
        <v>677.875</v>
      </c>
      <c r="F74" s="234"/>
      <c r="G74" s="178"/>
    </row>
    <row r="75">
      <c r="B75" s="14"/>
      <c r="C75" s="14"/>
      <c r="D75" s="170"/>
      <c r="E75" s="171"/>
      <c r="F75" s="172"/>
      <c r="G75" s="14"/>
      <c r="I75" s="102" t="s">
        <v>73</v>
      </c>
      <c r="J75" s="103">
        <f>IFERROR(__xludf.DUMMYFUNCTION("GOOGLEFINANCE(I75)"),406.1)</f>
        <v>406.1</v>
      </c>
      <c r="K75" s="104" t="s">
        <v>56</v>
      </c>
      <c r="L75" s="105">
        <v>1000.0</v>
      </c>
      <c r="M75" s="106"/>
    </row>
    <row r="76">
      <c r="B76" s="14"/>
      <c r="C76" s="14"/>
      <c r="D76" s="235" t="s">
        <v>67</v>
      </c>
      <c r="E76" s="236">
        <f>E74/C74</f>
        <v>0.3927433372</v>
      </c>
      <c r="F76" s="14"/>
      <c r="G76" s="14"/>
      <c r="I76" s="111"/>
      <c r="J76" s="108" t="s">
        <v>19</v>
      </c>
      <c r="K76" s="108" t="s">
        <v>58</v>
      </c>
      <c r="L76" s="108" t="s">
        <v>59</v>
      </c>
      <c r="M76" s="112" t="s">
        <v>62</v>
      </c>
    </row>
    <row r="77">
      <c r="B77" s="89"/>
      <c r="I77" s="117" t="s">
        <v>63</v>
      </c>
      <c r="J77" s="114">
        <f t="shared" ref="J77:J79" si="38">round(M77/K77*100,0)</f>
        <v>74</v>
      </c>
      <c r="K77" s="115">
        <f>J75</f>
        <v>406.1</v>
      </c>
      <c r="L77" s="17">
        <f t="shared" ref="L77:L79" si="39">J77*K77/100</f>
        <v>300.514</v>
      </c>
      <c r="M77" s="119">
        <v>300.0</v>
      </c>
    </row>
    <row r="78">
      <c r="B78" s="217" t="str">
        <f>IFERROR(__xludf.DUMMYFUNCTION("GOOGLEFINANCE(B79,""NAME"")"),"IDEX Metals Corp")</f>
        <v>IDEX Metals Corp</v>
      </c>
      <c r="C78" s="139"/>
      <c r="D78" s="218"/>
      <c r="E78" s="218"/>
      <c r="F78" s="219" t="s">
        <v>54</v>
      </c>
      <c r="G78" s="142"/>
      <c r="I78" s="117" t="s">
        <v>64</v>
      </c>
      <c r="J78" s="114">
        <f t="shared" si="38"/>
        <v>148</v>
      </c>
      <c r="K78" s="114">
        <f t="shared" ref="K78:K79" si="40">K77*0.5</f>
        <v>203.05</v>
      </c>
      <c r="L78" s="17">
        <f t="shared" si="39"/>
        <v>300.514</v>
      </c>
      <c r="M78" s="119">
        <v>300.0</v>
      </c>
    </row>
    <row r="79">
      <c r="B79" s="220" t="s">
        <v>80</v>
      </c>
      <c r="C79" s="221">
        <f>IFERROR(__xludf.DUMMYFUNCTION("GOOGLEFINANCE(B79)"),0.47)</f>
        <v>0.47</v>
      </c>
      <c r="D79" s="222" t="s">
        <v>56</v>
      </c>
      <c r="E79" s="223">
        <v>500.0</v>
      </c>
      <c r="F79" s="224">
        <f>IFERROR(__xludf.DUMMYFUNCTION("GOOGLEFINANCE(""CURRENCY:GBPUSD"")"),1.35588)</f>
        <v>1.35588</v>
      </c>
      <c r="G79" s="165"/>
      <c r="I79" s="117" t="s">
        <v>65</v>
      </c>
      <c r="J79" s="114">
        <f t="shared" si="38"/>
        <v>394</v>
      </c>
      <c r="K79" s="114">
        <f t="shared" si="40"/>
        <v>101.525</v>
      </c>
      <c r="L79" s="17">
        <f t="shared" si="39"/>
        <v>400.0085</v>
      </c>
      <c r="M79" s="119">
        <v>400.0</v>
      </c>
    </row>
    <row r="80">
      <c r="B80" s="169"/>
      <c r="C80" s="150" t="s">
        <v>19</v>
      </c>
      <c r="D80" s="150" t="s">
        <v>58</v>
      </c>
      <c r="E80" s="150" t="s">
        <v>71</v>
      </c>
      <c r="F80" s="225" t="s">
        <v>62</v>
      </c>
      <c r="G80" s="226" t="s">
        <v>61</v>
      </c>
      <c r="I80" s="117" t="s">
        <v>66</v>
      </c>
      <c r="J80" s="114"/>
      <c r="K80" s="114"/>
      <c r="L80" s="17">
        <f>J80*K80</f>
        <v>0</v>
      </c>
      <c r="M80" s="120"/>
    </row>
    <row r="81">
      <c r="B81" s="154" t="s">
        <v>63</v>
      </c>
      <c r="C81" s="227">
        <f t="shared" ref="C81:C83" si="41">round(G81/D81,0)</f>
        <v>123</v>
      </c>
      <c r="D81" s="228">
        <v>1.1</v>
      </c>
      <c r="E81" s="163">
        <f t="shared" ref="E81:E83" si="42">D81*C81</f>
        <v>135.3</v>
      </c>
      <c r="F81" s="229">
        <v>100.0</v>
      </c>
      <c r="G81" s="162">
        <f>F81*F79</f>
        <v>135.588</v>
      </c>
      <c r="I81" s="125"/>
      <c r="J81" s="122">
        <f>sum(J77:J80)</f>
        <v>616</v>
      </c>
      <c r="K81" s="123"/>
      <c r="L81" s="123">
        <f>sum(L77:L80)</f>
        <v>1001.0365</v>
      </c>
      <c r="M81" s="120"/>
    </row>
    <row r="82">
      <c r="B82" s="154" t="s">
        <v>64</v>
      </c>
      <c r="C82" s="227">
        <f t="shared" si="41"/>
        <v>370</v>
      </c>
      <c r="D82" s="227">
        <f t="shared" ref="D82:D83" si="43">D81*0.5</f>
        <v>0.55</v>
      </c>
      <c r="E82" s="163">
        <f t="shared" si="42"/>
        <v>203.5</v>
      </c>
      <c r="F82" s="229">
        <v>150.0</v>
      </c>
      <c r="G82" s="162">
        <f>F82*F79</f>
        <v>203.382</v>
      </c>
      <c r="I82" s="125"/>
      <c r="M82" s="132"/>
    </row>
    <row r="83">
      <c r="B83" s="154" t="s">
        <v>65</v>
      </c>
      <c r="C83" s="227">
        <f t="shared" si="41"/>
        <v>1233</v>
      </c>
      <c r="D83" s="227">
        <f t="shared" si="43"/>
        <v>0.275</v>
      </c>
      <c r="E83" s="163">
        <f t="shared" si="42"/>
        <v>339.075</v>
      </c>
      <c r="F83" s="229">
        <v>250.0</v>
      </c>
      <c r="G83" s="162">
        <f>F83*F79</f>
        <v>338.97</v>
      </c>
      <c r="I83" s="133"/>
      <c r="J83" s="134"/>
      <c r="K83" s="135" t="s">
        <v>67</v>
      </c>
      <c r="L83" s="136">
        <f>L81/J81</f>
        <v>1.625059253</v>
      </c>
      <c r="M83" s="137"/>
    </row>
    <row r="84">
      <c r="B84" s="154" t="s">
        <v>66</v>
      </c>
      <c r="C84" s="230"/>
      <c r="D84" s="230"/>
      <c r="E84" s="231">
        <f>C84*D84</f>
        <v>0</v>
      </c>
      <c r="F84" s="232"/>
      <c r="G84" s="165"/>
    </row>
    <row r="85">
      <c r="B85" s="173"/>
      <c r="C85" s="233">
        <f>sum(C81:C84)</f>
        <v>1726</v>
      </c>
      <c r="D85" s="174"/>
      <c r="E85" s="174">
        <f>sum(E81:E84)</f>
        <v>677.875</v>
      </c>
      <c r="F85" s="234"/>
      <c r="G85" s="178"/>
      <c r="I85" s="102" t="s">
        <v>73</v>
      </c>
      <c r="J85" s="103">
        <f>IFERROR(__xludf.DUMMYFUNCTION("GOOGLEFINANCE(I85)"),406.1)</f>
        <v>406.1</v>
      </c>
      <c r="K85" s="104" t="s">
        <v>56</v>
      </c>
      <c r="L85" s="105">
        <v>1000.0</v>
      </c>
      <c r="M85" s="106"/>
    </row>
    <row r="86">
      <c r="B86" s="14"/>
      <c r="C86" s="14"/>
      <c r="D86" s="170"/>
      <c r="E86" s="171"/>
      <c r="F86" s="172"/>
      <c r="G86" s="14"/>
      <c r="I86" s="111"/>
      <c r="J86" s="108" t="s">
        <v>19</v>
      </c>
      <c r="K86" s="108" t="s">
        <v>58</v>
      </c>
      <c r="L86" s="108" t="s">
        <v>59</v>
      </c>
      <c r="M86" s="112" t="s">
        <v>62</v>
      </c>
    </row>
    <row r="87">
      <c r="B87" s="14"/>
      <c r="C87" s="14"/>
      <c r="D87" s="235" t="s">
        <v>67</v>
      </c>
      <c r="E87" s="236">
        <f>E85/C85</f>
        <v>0.3927433372</v>
      </c>
      <c r="F87" s="14"/>
      <c r="G87" s="14"/>
      <c r="I87" s="117" t="s">
        <v>63</v>
      </c>
      <c r="J87" s="114">
        <f t="shared" ref="J87:J89" si="44">round(M87/K87*100,0)</f>
        <v>74</v>
      </c>
      <c r="K87" s="115">
        <f>J85</f>
        <v>406.1</v>
      </c>
      <c r="L87" s="17">
        <f t="shared" ref="L87:L89" si="45">J87*K87/100</f>
        <v>300.514</v>
      </c>
      <c r="M87" s="119">
        <v>300.0</v>
      </c>
    </row>
    <row r="88">
      <c r="B88" s="89"/>
      <c r="I88" s="117" t="s">
        <v>64</v>
      </c>
      <c r="J88" s="114">
        <f t="shared" si="44"/>
        <v>148</v>
      </c>
      <c r="K88" s="114">
        <f t="shared" ref="K88:K89" si="46">K87*0.5</f>
        <v>203.05</v>
      </c>
      <c r="L88" s="17">
        <f t="shared" si="45"/>
        <v>300.514</v>
      </c>
      <c r="M88" s="119">
        <v>300.0</v>
      </c>
    </row>
    <row r="89">
      <c r="B89" s="89"/>
      <c r="I89" s="117" t="s">
        <v>65</v>
      </c>
      <c r="J89" s="114">
        <f t="shared" si="44"/>
        <v>394</v>
      </c>
      <c r="K89" s="114">
        <f t="shared" si="46"/>
        <v>101.525</v>
      </c>
      <c r="L89" s="17">
        <f t="shared" si="45"/>
        <v>400.0085</v>
      </c>
      <c r="M89" s="119">
        <v>400.0</v>
      </c>
    </row>
    <row r="90">
      <c r="B90" s="89"/>
      <c r="I90" s="117" t="s">
        <v>66</v>
      </c>
      <c r="J90" s="114"/>
      <c r="K90" s="114"/>
      <c r="L90" s="17">
        <f>J90*K90</f>
        <v>0</v>
      </c>
      <c r="M90" s="120"/>
    </row>
    <row r="91">
      <c r="B91" s="89"/>
      <c r="I91" s="125"/>
      <c r="J91" s="122">
        <f>sum(J87:J90)</f>
        <v>616</v>
      </c>
      <c r="K91" s="123"/>
      <c r="L91" s="123">
        <f>sum(L87:L90)</f>
        <v>1001.0365</v>
      </c>
      <c r="M91" s="120"/>
    </row>
    <row r="92">
      <c r="B92" s="89"/>
      <c r="I92" s="125"/>
      <c r="M92" s="132"/>
    </row>
    <row r="93">
      <c r="B93" s="89"/>
      <c r="I93" s="133"/>
      <c r="J93" s="134"/>
      <c r="K93" s="135" t="s">
        <v>67</v>
      </c>
      <c r="L93" s="136">
        <f t="shared" ref="L93:L94" si="47">L91/J91</f>
        <v>1.625059253</v>
      </c>
      <c r="M93" s="137"/>
    </row>
    <row r="94">
      <c r="B94" s="89"/>
      <c r="I94" s="173"/>
      <c r="J94" s="174"/>
      <c r="K94" s="175" t="s">
        <v>67</v>
      </c>
      <c r="L94" s="185" t="str">
        <f t="shared" si="47"/>
        <v>#DIV/0!</v>
      </c>
      <c r="M94" s="178"/>
    </row>
    <row r="95">
      <c r="B95" s="89"/>
    </row>
    <row r="96">
      <c r="B96" s="89"/>
      <c r="I96" s="102" t="s">
        <v>73</v>
      </c>
      <c r="J96" s="103">
        <f>IFERROR(__xludf.DUMMYFUNCTION("GOOGLEFINANCE(I96)"),406.1)</f>
        <v>406.1</v>
      </c>
      <c r="K96" s="104" t="s">
        <v>56</v>
      </c>
      <c r="L96" s="105">
        <v>1000.0</v>
      </c>
      <c r="M96" s="106"/>
    </row>
    <row r="97">
      <c r="B97" s="89"/>
      <c r="I97" s="111"/>
      <c r="J97" s="108" t="s">
        <v>19</v>
      </c>
      <c r="K97" s="108" t="s">
        <v>58</v>
      </c>
      <c r="L97" s="108" t="s">
        <v>59</v>
      </c>
      <c r="M97" s="112" t="s">
        <v>62</v>
      </c>
    </row>
    <row r="98">
      <c r="B98" s="89"/>
      <c r="I98" s="117" t="s">
        <v>63</v>
      </c>
      <c r="J98" s="114">
        <f t="shared" ref="J98:J100" si="48">round(M98/K98*100,0)</f>
        <v>74</v>
      </c>
      <c r="K98" s="115">
        <f>J96</f>
        <v>406.1</v>
      </c>
      <c r="L98" s="17">
        <f t="shared" ref="L98:L100" si="49">J98*K98/100</f>
        <v>300.514</v>
      </c>
      <c r="M98" s="119">
        <v>300.0</v>
      </c>
    </row>
    <row r="99">
      <c r="B99" s="89"/>
      <c r="I99" s="117" t="s">
        <v>64</v>
      </c>
      <c r="J99" s="114">
        <f t="shared" si="48"/>
        <v>148</v>
      </c>
      <c r="K99" s="114">
        <f t="shared" ref="K99:K100" si="50">K98*0.5</f>
        <v>203.05</v>
      </c>
      <c r="L99" s="17">
        <f t="shared" si="49"/>
        <v>300.514</v>
      </c>
      <c r="M99" s="119">
        <v>300.0</v>
      </c>
    </row>
    <row r="100">
      <c r="B100" s="89"/>
      <c r="I100" s="117" t="s">
        <v>65</v>
      </c>
      <c r="J100" s="114">
        <f t="shared" si="48"/>
        <v>394</v>
      </c>
      <c r="K100" s="114">
        <f t="shared" si="50"/>
        <v>101.525</v>
      </c>
      <c r="L100" s="17">
        <f t="shared" si="49"/>
        <v>400.0085</v>
      </c>
      <c r="M100" s="119">
        <v>400.0</v>
      </c>
    </row>
    <row r="101">
      <c r="B101" s="89"/>
      <c r="I101" s="117" t="s">
        <v>66</v>
      </c>
      <c r="J101" s="114"/>
      <c r="K101" s="114"/>
      <c r="L101" s="17">
        <f>J101*K101</f>
        <v>0</v>
      </c>
      <c r="M101" s="120"/>
    </row>
    <row r="102">
      <c r="B102" s="89"/>
      <c r="I102" s="125"/>
      <c r="J102" s="122">
        <f>sum(J98:J101)</f>
        <v>616</v>
      </c>
      <c r="K102" s="123"/>
      <c r="L102" s="123">
        <f>sum(L98:L101)</f>
        <v>1001.0365</v>
      </c>
      <c r="M102" s="120"/>
    </row>
    <row r="103">
      <c r="B103" s="89"/>
      <c r="I103" s="125"/>
      <c r="M103" s="132"/>
    </row>
    <row r="104">
      <c r="B104" s="89"/>
      <c r="I104" s="133"/>
      <c r="J104" s="134"/>
      <c r="K104" s="135" t="s">
        <v>67</v>
      </c>
      <c r="L104" s="136">
        <f>L102/J102</f>
        <v>1.625059253</v>
      </c>
      <c r="M104" s="137"/>
    </row>
    <row r="105">
      <c r="B105" s="89"/>
      <c r="I105" s="237"/>
      <c r="J105" s="108"/>
      <c r="K105" s="108"/>
      <c r="L105" s="108"/>
      <c r="M105" s="109"/>
    </row>
    <row r="106">
      <c r="B106" s="89"/>
      <c r="I106" s="102" t="s">
        <v>73</v>
      </c>
      <c r="J106" s="103">
        <f>IFERROR(__xludf.DUMMYFUNCTION("GOOGLEFINANCE(I106)"),406.1)</f>
        <v>406.1</v>
      </c>
      <c r="K106" s="104" t="s">
        <v>56</v>
      </c>
      <c r="L106" s="105">
        <v>1000.0</v>
      </c>
      <c r="M106" s="106"/>
    </row>
    <row r="107">
      <c r="B107" s="89"/>
      <c r="I107" s="111"/>
      <c r="J107" s="108" t="s">
        <v>19</v>
      </c>
      <c r="K107" s="108" t="s">
        <v>58</v>
      </c>
      <c r="L107" s="108" t="s">
        <v>59</v>
      </c>
      <c r="M107" s="112" t="s">
        <v>62</v>
      </c>
    </row>
    <row r="108">
      <c r="B108" s="89"/>
      <c r="I108" s="117" t="s">
        <v>63</v>
      </c>
      <c r="J108" s="114">
        <f t="shared" ref="J108:J110" si="51">round(M108/K108*100,0)</f>
        <v>74</v>
      </c>
      <c r="K108" s="115">
        <f>J106</f>
        <v>406.1</v>
      </c>
      <c r="L108" s="17">
        <f t="shared" ref="L108:L110" si="52">J108*K108/100</f>
        <v>300.514</v>
      </c>
      <c r="M108" s="119">
        <v>300.0</v>
      </c>
    </row>
    <row r="109">
      <c r="B109" s="89"/>
      <c r="I109" s="117" t="s">
        <v>64</v>
      </c>
      <c r="J109" s="114">
        <f t="shared" si="51"/>
        <v>148</v>
      </c>
      <c r="K109" s="114">
        <f t="shared" ref="K109:K110" si="53">K108*0.5</f>
        <v>203.05</v>
      </c>
      <c r="L109" s="17">
        <f t="shared" si="52"/>
        <v>300.514</v>
      </c>
      <c r="M109" s="119">
        <v>300.0</v>
      </c>
    </row>
    <row r="110">
      <c r="B110" s="89"/>
      <c r="I110" s="117" t="s">
        <v>65</v>
      </c>
      <c r="J110" s="114">
        <f t="shared" si="51"/>
        <v>394</v>
      </c>
      <c r="K110" s="114">
        <f t="shared" si="53"/>
        <v>101.525</v>
      </c>
      <c r="L110" s="17">
        <f t="shared" si="52"/>
        <v>400.0085</v>
      </c>
      <c r="M110" s="119">
        <v>400.0</v>
      </c>
    </row>
    <row r="111">
      <c r="B111" s="89"/>
      <c r="I111" s="117" t="s">
        <v>66</v>
      </c>
      <c r="J111" s="114"/>
      <c r="K111" s="114"/>
      <c r="L111" s="17">
        <f>J111*K111</f>
        <v>0</v>
      </c>
      <c r="M111" s="120"/>
    </row>
    <row r="112">
      <c r="B112" s="89"/>
      <c r="I112" s="125"/>
      <c r="J112" s="122">
        <f>sum(J108:J111)</f>
        <v>616</v>
      </c>
      <c r="K112" s="123"/>
      <c r="L112" s="123">
        <f>sum(L108:L111)</f>
        <v>1001.0365</v>
      </c>
      <c r="M112" s="120"/>
    </row>
    <row r="113">
      <c r="B113" s="89"/>
      <c r="I113" s="125"/>
      <c r="M113" s="132"/>
    </row>
    <row r="114">
      <c r="B114" s="89"/>
      <c r="I114" s="133"/>
      <c r="J114" s="134"/>
      <c r="K114" s="135" t="s">
        <v>67</v>
      </c>
      <c r="L114" s="136">
        <f>L112/J112</f>
        <v>1.625059253</v>
      </c>
      <c r="M114" s="137"/>
    </row>
    <row r="115">
      <c r="B115" s="89"/>
    </row>
    <row r="116">
      <c r="B116" s="89"/>
      <c r="I116" s="238" t="s">
        <v>81</v>
      </c>
      <c r="J116" s="239" t="str">
        <f>IFERROR(__xludf.DUMMYFUNCTION("GOOGLEFINANCE(I116)"),"#N/A")</f>
        <v>#N/A</v>
      </c>
      <c r="K116" s="240" t="s">
        <v>56</v>
      </c>
      <c r="L116" s="241">
        <v>1000.0</v>
      </c>
      <c r="M116" s="242"/>
      <c r="N116" s="95"/>
    </row>
    <row r="117">
      <c r="B117" s="89"/>
      <c r="I117" s="243"/>
      <c r="J117" s="151" t="s">
        <v>19</v>
      </c>
      <c r="K117" s="151" t="s">
        <v>58</v>
      </c>
      <c r="L117" s="151" t="s">
        <v>59</v>
      </c>
      <c r="M117" s="244" t="s">
        <v>82</v>
      </c>
      <c r="N117" s="245" t="s">
        <v>83</v>
      </c>
    </row>
    <row r="118">
      <c r="B118" s="89"/>
      <c r="I118" s="246" t="s">
        <v>63</v>
      </c>
      <c r="J118" s="155">
        <v>46.0</v>
      </c>
      <c r="K118" s="156">
        <v>0.39</v>
      </c>
      <c r="L118" s="163">
        <f t="shared" ref="L118:L121" si="54">J118*K118</f>
        <v>17.94</v>
      </c>
      <c r="M118" s="56">
        <f t="shared" ref="M118:M120" si="55">N118*$M$124</f>
        <v>17.94</v>
      </c>
      <c r="N118" s="247">
        <f>L118/M124</f>
        <v>9.702043432</v>
      </c>
    </row>
    <row r="119">
      <c r="B119" s="89"/>
      <c r="I119" s="246" t="s">
        <v>64</v>
      </c>
      <c r="J119" s="155">
        <f t="shared" ref="J119:J120" si="56">round(M119/K119,0)</f>
        <v>2412</v>
      </c>
      <c r="K119" s="155">
        <v>0.23</v>
      </c>
      <c r="L119" s="163">
        <f t="shared" si="54"/>
        <v>554.76</v>
      </c>
      <c r="M119" s="56">
        <f t="shared" si="55"/>
        <v>554.7285</v>
      </c>
      <c r="N119" s="247">
        <v>300.0</v>
      </c>
    </row>
    <row r="120">
      <c r="B120" s="89"/>
      <c r="I120" s="246" t="s">
        <v>65</v>
      </c>
      <c r="J120" s="155">
        <f t="shared" si="56"/>
        <v>12759</v>
      </c>
      <c r="K120" s="155">
        <v>0.1</v>
      </c>
      <c r="L120" s="163">
        <f t="shared" si="54"/>
        <v>1275.9</v>
      </c>
      <c r="M120" s="56">
        <f t="shared" si="55"/>
        <v>1275.87555</v>
      </c>
      <c r="N120" s="247">
        <v>690.0</v>
      </c>
    </row>
    <row r="121">
      <c r="B121" s="89"/>
      <c r="I121" s="246" t="s">
        <v>66</v>
      </c>
      <c r="J121" s="227"/>
      <c r="K121" s="227"/>
      <c r="L121" s="163">
        <f t="shared" si="54"/>
        <v>0</v>
      </c>
      <c r="N121" s="232"/>
    </row>
    <row r="122">
      <c r="B122" s="89"/>
      <c r="I122" s="248"/>
      <c r="J122" s="249">
        <f>sum(J118:J121)</f>
        <v>15217</v>
      </c>
      <c r="K122" s="168"/>
      <c r="L122" s="168">
        <f>sum(L118:L121)</f>
        <v>1848.6</v>
      </c>
      <c r="N122" s="101"/>
    </row>
    <row r="123">
      <c r="B123" s="89"/>
      <c r="I123" s="107"/>
      <c r="M123" s="250" t="s">
        <v>84</v>
      </c>
      <c r="N123" s="101"/>
    </row>
    <row r="124">
      <c r="B124" s="89"/>
      <c r="I124" s="251"/>
      <c r="J124" s="252"/>
      <c r="K124" s="253" t="s">
        <v>67</v>
      </c>
      <c r="L124" s="254">
        <f>L122/J122</f>
        <v>0.1214825524</v>
      </c>
      <c r="M124" s="255">
        <f>IFERROR(__xludf.DUMMYFUNCTION("GOOGLEFINANCE(""currency:gbpcad"")"),1.849095)</f>
        <v>1.849095</v>
      </c>
      <c r="N124" s="131"/>
    </row>
    <row r="125">
      <c r="B125" s="89"/>
    </row>
    <row r="126">
      <c r="B126" s="89"/>
      <c r="I126" s="102" t="s">
        <v>73</v>
      </c>
      <c r="J126" s="103">
        <f>IFERROR(__xludf.DUMMYFUNCTION("GOOGLEFINANCE(I126)"),406.1)</f>
        <v>406.1</v>
      </c>
      <c r="K126" s="104" t="s">
        <v>56</v>
      </c>
      <c r="L126" s="105">
        <v>1000.0</v>
      </c>
      <c r="M126" s="106"/>
    </row>
    <row r="127">
      <c r="B127" s="89"/>
      <c r="I127" s="111"/>
      <c r="J127" s="108" t="s">
        <v>19</v>
      </c>
      <c r="K127" s="108" t="s">
        <v>58</v>
      </c>
      <c r="L127" s="108" t="s">
        <v>59</v>
      </c>
      <c r="M127" s="112" t="s">
        <v>62</v>
      </c>
    </row>
    <row r="128">
      <c r="B128" s="89"/>
      <c r="I128" s="117" t="s">
        <v>63</v>
      </c>
      <c r="J128" s="114">
        <f t="shared" ref="J128:J130" si="57">round(M128/K128*100,0)</f>
        <v>74</v>
      </c>
      <c r="K128" s="115">
        <f>J126</f>
        <v>406.1</v>
      </c>
      <c r="L128" s="17">
        <f t="shared" ref="L128:L130" si="58">J128*K128/100</f>
        <v>300.514</v>
      </c>
      <c r="M128" s="119">
        <v>300.0</v>
      </c>
    </row>
    <row r="129">
      <c r="B129" s="89"/>
      <c r="I129" s="117" t="s">
        <v>64</v>
      </c>
      <c r="J129" s="114">
        <f t="shared" si="57"/>
        <v>148</v>
      </c>
      <c r="K129" s="114">
        <f t="shared" ref="K129:K130" si="59">K128*0.5</f>
        <v>203.05</v>
      </c>
      <c r="L129" s="17">
        <f t="shared" si="58"/>
        <v>300.514</v>
      </c>
      <c r="M129" s="119">
        <v>300.0</v>
      </c>
    </row>
    <row r="130">
      <c r="B130" s="89"/>
      <c r="I130" s="117" t="s">
        <v>65</v>
      </c>
      <c r="J130" s="114">
        <f t="shared" si="57"/>
        <v>394</v>
      </c>
      <c r="K130" s="114">
        <f t="shared" si="59"/>
        <v>101.525</v>
      </c>
      <c r="L130" s="17">
        <f t="shared" si="58"/>
        <v>400.0085</v>
      </c>
      <c r="M130" s="119">
        <v>400.0</v>
      </c>
    </row>
    <row r="131">
      <c r="B131" s="89"/>
      <c r="I131" s="117" t="s">
        <v>66</v>
      </c>
      <c r="J131" s="114"/>
      <c r="K131" s="114"/>
      <c r="L131" s="17">
        <f>J131*K131</f>
        <v>0</v>
      </c>
      <c r="M131" s="120"/>
    </row>
    <row r="132">
      <c r="B132" s="89"/>
      <c r="I132" s="125"/>
      <c r="J132" s="122">
        <f>sum(J128:J131)</f>
        <v>616</v>
      </c>
      <c r="K132" s="123"/>
      <c r="L132" s="123">
        <f>sum(L128:L131)</f>
        <v>1001.0365</v>
      </c>
      <c r="M132" s="120"/>
    </row>
    <row r="133">
      <c r="B133" s="89"/>
      <c r="I133" s="125"/>
      <c r="M133" s="132"/>
    </row>
    <row r="134">
      <c r="B134" s="89"/>
      <c r="I134" s="133"/>
      <c r="J134" s="134"/>
      <c r="K134" s="135" t="s">
        <v>67</v>
      </c>
      <c r="L134" s="136">
        <f>L132/J132</f>
        <v>1.625059253</v>
      </c>
      <c r="M134" s="137"/>
    </row>
    <row r="135">
      <c r="B135" s="89"/>
    </row>
    <row r="136">
      <c r="B136" s="89"/>
      <c r="I136" s="256" t="s">
        <v>85</v>
      </c>
      <c r="J136" s="257">
        <f>IFERROR(__xludf.DUMMYFUNCTION("GOOGLEFINANCE(I136)"),1258.2)</f>
        <v>1258.2</v>
      </c>
      <c r="K136" s="258" t="s">
        <v>56</v>
      </c>
      <c r="L136" s="259">
        <v>1000.0</v>
      </c>
      <c r="M136" s="142"/>
    </row>
    <row r="137">
      <c r="B137" s="89"/>
      <c r="I137" s="169"/>
      <c r="J137" s="150" t="s">
        <v>19</v>
      </c>
      <c r="K137" s="150" t="s">
        <v>58</v>
      </c>
      <c r="L137" s="150" t="s">
        <v>59</v>
      </c>
      <c r="M137" s="260" t="s">
        <v>86</v>
      </c>
    </row>
    <row r="138">
      <c r="B138" s="89"/>
      <c r="I138" s="154" t="s">
        <v>63</v>
      </c>
      <c r="J138" s="155">
        <v>77.0</v>
      </c>
      <c r="K138" s="156">
        <v>387.05</v>
      </c>
      <c r="L138" s="163">
        <f t="shared" ref="L138:L140" si="60">J138*K138/100</f>
        <v>298.0285</v>
      </c>
      <c r="M138" s="261">
        <v>300.0</v>
      </c>
    </row>
    <row r="139">
      <c r="B139" s="89"/>
      <c r="I139" s="154" t="s">
        <v>64</v>
      </c>
      <c r="J139" s="155">
        <v>193.0</v>
      </c>
      <c r="K139" s="155">
        <v>154.82</v>
      </c>
      <c r="L139" s="163">
        <f t="shared" si="60"/>
        <v>298.8026</v>
      </c>
      <c r="M139" s="261">
        <v>300.0</v>
      </c>
    </row>
    <row r="140">
      <c r="B140" s="89"/>
      <c r="I140" s="154" t="s">
        <v>65</v>
      </c>
      <c r="J140" s="155">
        <v>646.0</v>
      </c>
      <c r="K140" s="155">
        <v>61.928</v>
      </c>
      <c r="L140" s="163">
        <f t="shared" si="60"/>
        <v>400.05488</v>
      </c>
      <c r="M140" s="261">
        <v>400.0</v>
      </c>
    </row>
    <row r="141">
      <c r="B141" s="89"/>
      <c r="I141" s="154" t="s">
        <v>66</v>
      </c>
      <c r="J141" s="230"/>
      <c r="K141" s="230"/>
      <c r="L141" s="231">
        <f>J141*K141</f>
        <v>0</v>
      </c>
      <c r="M141" s="165"/>
    </row>
    <row r="142">
      <c r="B142" s="89"/>
      <c r="I142" s="169"/>
      <c r="J142" s="231">
        <f>sum(J138:J141)</f>
        <v>916</v>
      </c>
      <c r="K142" s="252"/>
      <c r="L142" s="252">
        <f>sum(L138:L141)</f>
        <v>996.88598</v>
      </c>
      <c r="M142" s="165"/>
    </row>
    <row r="143">
      <c r="B143" s="89"/>
      <c r="I143" s="169"/>
      <c r="J143" s="14"/>
      <c r="K143" s="14"/>
      <c r="L143" s="14"/>
      <c r="M143" s="262"/>
    </row>
    <row r="144">
      <c r="B144" s="89"/>
      <c r="I144" s="173"/>
      <c r="J144" s="174"/>
      <c r="K144" s="263" t="s">
        <v>67</v>
      </c>
      <c r="L144" s="185">
        <f>L142/J142</f>
        <v>1.088303472</v>
      </c>
      <c r="M144" s="178"/>
    </row>
    <row r="145">
      <c r="B145" s="89"/>
    </row>
    <row r="146">
      <c r="B146" s="89"/>
      <c r="I146" s="256" t="s">
        <v>85</v>
      </c>
      <c r="J146" s="257">
        <f>IFERROR(__xludf.DUMMYFUNCTION("GOOGLEFINANCE(I146)"),1258.2)</f>
        <v>1258.2</v>
      </c>
      <c r="K146" s="258" t="s">
        <v>56</v>
      </c>
      <c r="L146" s="259">
        <v>1000.0</v>
      </c>
      <c r="M146" s="142"/>
    </row>
    <row r="147">
      <c r="B147" s="89"/>
      <c r="I147" s="169"/>
      <c r="J147" s="150" t="s">
        <v>19</v>
      </c>
      <c r="K147" s="150" t="s">
        <v>58</v>
      </c>
      <c r="L147" s="150" t="s">
        <v>59</v>
      </c>
      <c r="M147" s="260" t="s">
        <v>86</v>
      </c>
    </row>
    <row r="148">
      <c r="B148" s="89"/>
      <c r="I148" s="154" t="s">
        <v>63</v>
      </c>
      <c r="J148" s="155">
        <v>77.0</v>
      </c>
      <c r="K148" s="156">
        <v>387.05</v>
      </c>
      <c r="L148" s="163">
        <f t="shared" ref="L148:L150" si="61">J148*K148/100</f>
        <v>298.0285</v>
      </c>
      <c r="M148" s="261">
        <v>300.0</v>
      </c>
    </row>
    <row r="149">
      <c r="B149" s="89"/>
      <c r="I149" s="154" t="s">
        <v>64</v>
      </c>
      <c r="J149" s="155">
        <v>193.0</v>
      </c>
      <c r="K149" s="155">
        <v>154.82</v>
      </c>
      <c r="L149" s="163">
        <f t="shared" si="61"/>
        <v>298.8026</v>
      </c>
      <c r="M149" s="261">
        <v>300.0</v>
      </c>
    </row>
    <row r="150">
      <c r="B150" s="89"/>
      <c r="I150" s="154" t="s">
        <v>65</v>
      </c>
      <c r="J150" s="155">
        <v>646.0</v>
      </c>
      <c r="K150" s="155">
        <v>61.928</v>
      </c>
      <c r="L150" s="163">
        <f t="shared" si="61"/>
        <v>400.05488</v>
      </c>
      <c r="M150" s="261">
        <v>400.0</v>
      </c>
    </row>
    <row r="151">
      <c r="B151" s="89"/>
      <c r="I151" s="154" t="s">
        <v>66</v>
      </c>
      <c r="J151" s="230"/>
      <c r="K151" s="230"/>
      <c r="L151" s="231">
        <f>J151*K151</f>
        <v>0</v>
      </c>
      <c r="M151" s="165"/>
    </row>
    <row r="152">
      <c r="B152" s="89"/>
      <c r="I152" s="169"/>
      <c r="J152" s="231">
        <f>sum(J148:J151)</f>
        <v>916</v>
      </c>
      <c r="K152" s="252"/>
      <c r="L152" s="252">
        <f>sum(L148:L151)</f>
        <v>996.88598</v>
      </c>
      <c r="M152" s="165"/>
    </row>
    <row r="153">
      <c r="B153" s="89"/>
      <c r="I153" s="169"/>
      <c r="J153" s="14"/>
      <c r="K153" s="14"/>
      <c r="L153" s="14"/>
      <c r="M153" s="262"/>
    </row>
    <row r="154">
      <c r="B154" s="89"/>
      <c r="I154" s="173"/>
      <c r="J154" s="174"/>
      <c r="K154" s="263" t="s">
        <v>67</v>
      </c>
      <c r="L154" s="185">
        <f>L152/J152</f>
        <v>1.088303472</v>
      </c>
      <c r="M154" s="178"/>
    </row>
    <row r="155">
      <c r="B155" s="89"/>
    </row>
    <row r="156">
      <c r="B156" s="89"/>
      <c r="I156" s="256" t="s">
        <v>87</v>
      </c>
      <c r="J156" s="257">
        <f>IFERROR(__xludf.DUMMYFUNCTION("GOOGLEFINANCE(I156)"),2.57)</f>
        <v>2.57</v>
      </c>
      <c r="K156" s="258" t="s">
        <v>56</v>
      </c>
      <c r="L156" s="259">
        <v>1000.0</v>
      </c>
      <c r="M156" s="142"/>
    </row>
    <row r="157">
      <c r="B157" s="89"/>
      <c r="I157" s="169"/>
      <c r="J157" s="150" t="s">
        <v>19</v>
      </c>
      <c r="K157" s="150" t="s">
        <v>58</v>
      </c>
      <c r="L157" s="150" t="s">
        <v>59</v>
      </c>
      <c r="M157" s="260" t="s">
        <v>86</v>
      </c>
    </row>
    <row r="158">
      <c r="B158" s="89"/>
      <c r="I158" s="154" t="s">
        <v>63</v>
      </c>
      <c r="J158" s="155">
        <v>5453.0</v>
      </c>
      <c r="K158" s="156">
        <v>5.5</v>
      </c>
      <c r="L158" s="163">
        <f t="shared" ref="L158:L160" si="62">J158*K158/100</f>
        <v>299.915</v>
      </c>
      <c r="M158" s="261">
        <v>300.0</v>
      </c>
    </row>
    <row r="159">
      <c r="B159" s="89"/>
      <c r="I159" s="154" t="s">
        <v>64</v>
      </c>
      <c r="J159" s="155">
        <v>13636.0</v>
      </c>
      <c r="K159" s="155">
        <v>2.2</v>
      </c>
      <c r="L159" s="163">
        <f t="shared" si="62"/>
        <v>299.992</v>
      </c>
      <c r="M159" s="261">
        <v>300.0</v>
      </c>
    </row>
    <row r="160">
      <c r="B160" s="89"/>
      <c r="I160" s="154" t="s">
        <v>65</v>
      </c>
      <c r="J160" s="155">
        <v>45450.0</v>
      </c>
      <c r="K160" s="155">
        <v>0.88</v>
      </c>
      <c r="L160" s="163">
        <f t="shared" si="62"/>
        <v>399.96</v>
      </c>
      <c r="M160" s="261">
        <v>400.0</v>
      </c>
    </row>
    <row r="161">
      <c r="B161" s="89"/>
      <c r="I161" s="154" t="s">
        <v>66</v>
      </c>
      <c r="J161" s="264"/>
      <c r="K161" s="264"/>
      <c r="L161" s="231">
        <f>J161*K161</f>
        <v>0</v>
      </c>
      <c r="M161" s="165"/>
    </row>
    <row r="162">
      <c r="B162" s="89"/>
      <c r="I162" s="169"/>
      <c r="J162" s="231">
        <f>sum(J158:J161)</f>
        <v>64539</v>
      </c>
      <c r="K162" s="252"/>
      <c r="L162" s="265">
        <f>sum(L158:L161)</f>
        <v>999.867</v>
      </c>
      <c r="M162" s="165"/>
    </row>
    <row r="163">
      <c r="B163" s="89"/>
      <c r="I163" s="169"/>
      <c r="J163" s="14"/>
      <c r="K163" s="14"/>
      <c r="L163" s="14"/>
      <c r="M163" s="262"/>
    </row>
    <row r="164">
      <c r="B164" s="89"/>
      <c r="I164" s="173"/>
      <c r="J164" s="174"/>
      <c r="K164" s="263" t="s">
        <v>67</v>
      </c>
      <c r="L164" s="185">
        <f>L162/J162</f>
        <v>0.01549244643</v>
      </c>
      <c r="M164" s="178"/>
    </row>
    <row r="165">
      <c r="B165" s="89"/>
    </row>
    <row r="166">
      <c r="B166" s="89"/>
      <c r="I166" s="102"/>
      <c r="J166" s="103" t="str">
        <f>IFERROR(__xludf.DUMMYFUNCTION("GOOGLEFINANCE(I166)"),"#N/A")</f>
        <v>#N/A</v>
      </c>
      <c r="K166" s="104" t="s">
        <v>56</v>
      </c>
      <c r="L166" s="105">
        <v>1000.0</v>
      </c>
      <c r="M166" s="106"/>
    </row>
    <row r="167">
      <c r="B167" s="89"/>
      <c r="I167" s="111"/>
      <c r="J167" s="108" t="s">
        <v>19</v>
      </c>
      <c r="K167" s="108" t="s">
        <v>58</v>
      </c>
      <c r="L167" s="108" t="s">
        <v>59</v>
      </c>
      <c r="M167" s="112" t="s">
        <v>86</v>
      </c>
    </row>
    <row r="168">
      <c r="B168" s="89"/>
      <c r="I168" s="117" t="s">
        <v>63</v>
      </c>
      <c r="J168" s="114"/>
      <c r="K168" s="115"/>
      <c r="L168" s="17">
        <f t="shared" ref="L168:L170" si="63">J168*K168/100</f>
        <v>0</v>
      </c>
      <c r="M168" s="119">
        <v>300.0</v>
      </c>
    </row>
    <row r="169">
      <c r="B169" s="89"/>
      <c r="I169" s="117" t="s">
        <v>64</v>
      </c>
      <c r="J169" s="114"/>
      <c r="K169" s="114"/>
      <c r="L169" s="17">
        <f t="shared" si="63"/>
        <v>0</v>
      </c>
      <c r="M169" s="119">
        <v>300.0</v>
      </c>
    </row>
    <row r="170">
      <c r="B170" s="89"/>
      <c r="I170" s="117" t="s">
        <v>65</v>
      </c>
      <c r="J170" s="114"/>
      <c r="K170" s="114"/>
      <c r="L170" s="17">
        <f t="shared" si="63"/>
        <v>0</v>
      </c>
      <c r="M170" s="119">
        <v>400.0</v>
      </c>
    </row>
    <row r="171">
      <c r="B171" s="89"/>
      <c r="I171" s="117" t="s">
        <v>66</v>
      </c>
      <c r="J171" s="114"/>
      <c r="K171" s="114"/>
      <c r="L171" s="17">
        <f>J171*K171</f>
        <v>0</v>
      </c>
      <c r="M171" s="120"/>
    </row>
    <row r="172">
      <c r="B172" s="89"/>
      <c r="I172" s="125"/>
      <c r="J172" s="122">
        <f>sum(J168:J171)</f>
        <v>0</v>
      </c>
      <c r="K172" s="123"/>
      <c r="L172" s="123">
        <f>sum(L168:L171)</f>
        <v>0</v>
      </c>
      <c r="M172" s="120"/>
    </row>
    <row r="173">
      <c r="B173" s="89"/>
      <c r="I173" s="125"/>
      <c r="M173" s="132"/>
    </row>
    <row r="174">
      <c r="B174" s="89"/>
      <c r="I174" s="133"/>
      <c r="J174" s="134"/>
      <c r="K174" s="135" t="s">
        <v>67</v>
      </c>
      <c r="L174" s="136" t="str">
        <f>L172/J172</f>
        <v>#DIV/0!</v>
      </c>
      <c r="M174" s="137"/>
    </row>
    <row r="175">
      <c r="B175" s="89"/>
    </row>
    <row r="176">
      <c r="B176" s="89"/>
    </row>
    <row r="177">
      <c r="B177" s="89"/>
    </row>
    <row r="178">
      <c r="B178" s="89"/>
    </row>
    <row r="179">
      <c r="B179" s="89"/>
    </row>
    <row r="180">
      <c r="B180" s="89"/>
    </row>
    <row r="181">
      <c r="B181" s="89"/>
    </row>
    <row r="182">
      <c r="B182" s="89"/>
    </row>
    <row r="183">
      <c r="B183" s="89"/>
    </row>
    <row r="184">
      <c r="B184" s="89"/>
    </row>
    <row r="185">
      <c r="B185" s="89"/>
    </row>
    <row r="186">
      <c r="B186" s="89"/>
    </row>
    <row r="187">
      <c r="B187" s="89"/>
    </row>
    <row r="188">
      <c r="B188" s="89"/>
    </row>
    <row r="189">
      <c r="B189" s="89"/>
    </row>
    <row r="190">
      <c r="B190" s="89"/>
    </row>
    <row r="191">
      <c r="B191" s="89"/>
    </row>
    <row r="192">
      <c r="B192" s="89"/>
    </row>
    <row r="193">
      <c r="B193" s="89"/>
    </row>
    <row r="194">
      <c r="B194" s="89"/>
    </row>
    <row r="195">
      <c r="B195" s="89"/>
    </row>
    <row r="196">
      <c r="B196" s="89"/>
    </row>
    <row r="197">
      <c r="B197" s="89"/>
    </row>
    <row r="198">
      <c r="B198" s="89"/>
    </row>
    <row r="199">
      <c r="B199" s="89"/>
    </row>
    <row r="200">
      <c r="B200" s="89"/>
    </row>
    <row r="201">
      <c r="B201" s="89"/>
    </row>
    <row r="202">
      <c r="B202" s="89"/>
    </row>
    <row r="203">
      <c r="B203" s="89"/>
    </row>
    <row r="204">
      <c r="B204" s="89"/>
    </row>
    <row r="205">
      <c r="B205" s="89"/>
    </row>
    <row r="206">
      <c r="B206" s="89"/>
    </row>
    <row r="207">
      <c r="B207" s="89"/>
    </row>
    <row r="208">
      <c r="B208" s="89"/>
    </row>
    <row r="209">
      <c r="B209" s="89"/>
    </row>
    <row r="210">
      <c r="B210" s="89"/>
    </row>
    <row r="211">
      <c r="B211" s="89"/>
    </row>
    <row r="212">
      <c r="B212" s="89"/>
    </row>
    <row r="213">
      <c r="B213" s="89"/>
    </row>
    <row r="214">
      <c r="B214" s="89"/>
    </row>
    <row r="215">
      <c r="B215" s="89"/>
    </row>
    <row r="216">
      <c r="B216" s="89"/>
    </row>
    <row r="217">
      <c r="B217" s="89"/>
    </row>
    <row r="218">
      <c r="B218" s="89"/>
    </row>
    <row r="219">
      <c r="B219" s="89"/>
    </row>
    <row r="220">
      <c r="B220" s="89"/>
    </row>
    <row r="221">
      <c r="B221" s="89"/>
    </row>
    <row r="222">
      <c r="B222" s="89"/>
    </row>
    <row r="223">
      <c r="B223" s="89"/>
    </row>
    <row r="224">
      <c r="B224" s="89"/>
    </row>
    <row r="225">
      <c r="B225" s="89"/>
    </row>
    <row r="226">
      <c r="B226" s="89"/>
    </row>
    <row r="227">
      <c r="B227" s="89"/>
    </row>
    <row r="228">
      <c r="B228" s="89"/>
    </row>
    <row r="229">
      <c r="B229" s="89"/>
    </row>
    <row r="230">
      <c r="B230" s="89"/>
    </row>
    <row r="231">
      <c r="B231" s="89"/>
    </row>
    <row r="232">
      <c r="B232" s="89"/>
    </row>
    <row r="233">
      <c r="B233" s="89"/>
    </row>
    <row r="234">
      <c r="B234" s="89"/>
    </row>
    <row r="235">
      <c r="B235" s="89"/>
    </row>
    <row r="236">
      <c r="B236" s="89"/>
    </row>
    <row r="237">
      <c r="B237" s="89"/>
    </row>
    <row r="238">
      <c r="B238" s="89"/>
    </row>
    <row r="239">
      <c r="B239" s="89"/>
    </row>
    <row r="240">
      <c r="B240" s="89"/>
    </row>
    <row r="241">
      <c r="B241" s="89"/>
    </row>
    <row r="242">
      <c r="B242" s="89"/>
    </row>
    <row r="243">
      <c r="B243" s="89"/>
    </row>
    <row r="244">
      <c r="B244" s="89"/>
    </row>
    <row r="245">
      <c r="B245" s="89"/>
    </row>
    <row r="246">
      <c r="B246" s="89"/>
    </row>
    <row r="247">
      <c r="B247" s="89"/>
    </row>
    <row r="248">
      <c r="B248" s="89"/>
    </row>
    <row r="249">
      <c r="B249" s="89"/>
    </row>
    <row r="250">
      <c r="B250" s="89"/>
    </row>
    <row r="251">
      <c r="B251" s="89"/>
    </row>
    <row r="252">
      <c r="B252" s="89"/>
    </row>
    <row r="253">
      <c r="B253" s="89"/>
    </row>
    <row r="254">
      <c r="B254" s="89"/>
    </row>
    <row r="255">
      <c r="B255" s="89"/>
    </row>
    <row r="256">
      <c r="B256" s="89"/>
    </row>
    <row r="257">
      <c r="B257" s="89"/>
    </row>
    <row r="258">
      <c r="B258" s="89"/>
    </row>
    <row r="259">
      <c r="B259" s="89"/>
    </row>
    <row r="260">
      <c r="B260" s="89"/>
    </row>
    <row r="261">
      <c r="B261" s="89"/>
    </row>
    <row r="262">
      <c r="B262" s="89"/>
    </row>
    <row r="263">
      <c r="B263" s="89"/>
    </row>
    <row r="264">
      <c r="B264" s="89"/>
    </row>
    <row r="265">
      <c r="B265" s="89"/>
    </row>
    <row r="266">
      <c r="B266" s="89"/>
    </row>
    <row r="267">
      <c r="B267" s="89"/>
    </row>
    <row r="268">
      <c r="B268" s="89"/>
    </row>
    <row r="269">
      <c r="B269" s="89"/>
    </row>
    <row r="270">
      <c r="B270" s="89"/>
    </row>
    <row r="271">
      <c r="B271" s="89"/>
    </row>
    <row r="272">
      <c r="B272" s="89"/>
    </row>
    <row r="273">
      <c r="B273" s="89"/>
    </row>
    <row r="274">
      <c r="B274" s="89"/>
    </row>
    <row r="275">
      <c r="B275" s="89"/>
    </row>
    <row r="276">
      <c r="B276" s="89"/>
    </row>
    <row r="277">
      <c r="B277" s="89"/>
    </row>
    <row r="278">
      <c r="B278" s="89"/>
    </row>
    <row r="279">
      <c r="B279" s="89"/>
    </row>
    <row r="280">
      <c r="B280" s="89"/>
    </row>
    <row r="281">
      <c r="B281" s="89"/>
    </row>
    <row r="282">
      <c r="B282" s="89"/>
    </row>
    <row r="283">
      <c r="B283" s="89"/>
    </row>
    <row r="284">
      <c r="B284" s="89"/>
    </row>
    <row r="285">
      <c r="B285" s="89"/>
    </row>
    <row r="286">
      <c r="B286" s="89"/>
    </row>
    <row r="287">
      <c r="B287" s="89"/>
    </row>
    <row r="288">
      <c r="B288" s="89"/>
    </row>
    <row r="289">
      <c r="B289" s="89"/>
    </row>
    <row r="290">
      <c r="B290" s="89"/>
    </row>
    <row r="291">
      <c r="B291" s="89"/>
    </row>
    <row r="292">
      <c r="B292" s="89"/>
    </row>
    <row r="293">
      <c r="B293" s="89"/>
    </row>
    <row r="294">
      <c r="B294" s="89"/>
    </row>
    <row r="295">
      <c r="B295" s="89"/>
    </row>
    <row r="296">
      <c r="B296" s="89"/>
    </row>
    <row r="297">
      <c r="B297" s="89"/>
    </row>
    <row r="298">
      <c r="B298" s="89"/>
    </row>
    <row r="299">
      <c r="B299" s="89"/>
    </row>
    <row r="300">
      <c r="B300" s="89"/>
    </row>
    <row r="301">
      <c r="B301" s="89"/>
    </row>
    <row r="302">
      <c r="B302" s="89"/>
    </row>
    <row r="303">
      <c r="B303" s="89"/>
    </row>
    <row r="304">
      <c r="B304" s="89"/>
    </row>
    <row r="305">
      <c r="B305" s="89"/>
    </row>
    <row r="306">
      <c r="B306" s="89"/>
    </row>
    <row r="307">
      <c r="B307" s="89"/>
    </row>
    <row r="308">
      <c r="B308" s="89"/>
    </row>
    <row r="309">
      <c r="B309" s="89"/>
    </row>
    <row r="310">
      <c r="B310" s="89"/>
    </row>
    <row r="311">
      <c r="B311" s="89"/>
    </row>
    <row r="312">
      <c r="B312" s="89"/>
    </row>
    <row r="313">
      <c r="B313" s="89"/>
    </row>
    <row r="314">
      <c r="B314" s="89"/>
    </row>
    <row r="315">
      <c r="B315" s="89"/>
    </row>
    <row r="316">
      <c r="B316" s="89"/>
    </row>
    <row r="317">
      <c r="B317" s="89"/>
    </row>
    <row r="318">
      <c r="B318" s="89"/>
    </row>
    <row r="319">
      <c r="B319" s="89"/>
    </row>
    <row r="320">
      <c r="B320" s="89"/>
    </row>
    <row r="321">
      <c r="B321" s="89"/>
    </row>
    <row r="322">
      <c r="B322" s="89"/>
    </row>
    <row r="323">
      <c r="B323" s="89"/>
    </row>
    <row r="324">
      <c r="B324" s="89"/>
    </row>
    <row r="325">
      <c r="B325" s="89"/>
    </row>
    <row r="326">
      <c r="B326" s="89"/>
    </row>
    <row r="327">
      <c r="B327" s="89"/>
    </row>
    <row r="328">
      <c r="B328" s="89"/>
    </row>
    <row r="329">
      <c r="B329" s="89"/>
    </row>
    <row r="330">
      <c r="B330" s="89"/>
    </row>
    <row r="331">
      <c r="B331" s="89"/>
    </row>
    <row r="332">
      <c r="B332" s="89"/>
    </row>
    <row r="333">
      <c r="B333" s="89"/>
    </row>
    <row r="334">
      <c r="B334" s="89"/>
    </row>
    <row r="335">
      <c r="B335" s="89"/>
    </row>
    <row r="336">
      <c r="B336" s="89"/>
    </row>
    <row r="337">
      <c r="B337" s="89"/>
    </row>
    <row r="338">
      <c r="B338" s="89"/>
    </row>
    <row r="339">
      <c r="B339" s="89"/>
    </row>
    <row r="340">
      <c r="B340" s="89"/>
    </row>
    <row r="341">
      <c r="B341" s="89"/>
    </row>
    <row r="342">
      <c r="B342" s="89"/>
    </row>
    <row r="343">
      <c r="B343" s="89"/>
    </row>
    <row r="344">
      <c r="B344" s="89"/>
    </row>
    <row r="345">
      <c r="B345" s="89"/>
    </row>
    <row r="346">
      <c r="B346" s="89"/>
    </row>
    <row r="347">
      <c r="B347" s="89"/>
    </row>
    <row r="348">
      <c r="B348" s="89"/>
    </row>
    <row r="349">
      <c r="B349" s="89"/>
    </row>
    <row r="350">
      <c r="B350" s="89"/>
    </row>
    <row r="351">
      <c r="B351" s="89"/>
    </row>
    <row r="352">
      <c r="B352" s="89"/>
    </row>
    <row r="353">
      <c r="B353" s="89"/>
    </row>
    <row r="354">
      <c r="B354" s="89"/>
    </row>
    <row r="355">
      <c r="B355" s="89"/>
    </row>
    <row r="356">
      <c r="B356" s="89"/>
    </row>
    <row r="357">
      <c r="B357" s="89"/>
    </row>
    <row r="358">
      <c r="B358" s="89"/>
    </row>
    <row r="359">
      <c r="B359" s="89"/>
    </row>
    <row r="360">
      <c r="B360" s="89"/>
    </row>
    <row r="361">
      <c r="B361" s="89"/>
    </row>
    <row r="362">
      <c r="B362" s="89"/>
    </row>
    <row r="363">
      <c r="B363" s="89"/>
    </row>
    <row r="364">
      <c r="B364" s="89"/>
    </row>
    <row r="365">
      <c r="B365" s="89"/>
    </row>
    <row r="366">
      <c r="B366" s="89"/>
    </row>
    <row r="367">
      <c r="B367" s="89"/>
    </row>
    <row r="368">
      <c r="B368" s="89"/>
    </row>
    <row r="369">
      <c r="B369" s="89"/>
    </row>
    <row r="370">
      <c r="B370" s="89"/>
    </row>
    <row r="371">
      <c r="B371" s="89"/>
    </row>
    <row r="372">
      <c r="B372" s="89"/>
    </row>
    <row r="373">
      <c r="B373" s="89"/>
    </row>
    <row r="374">
      <c r="B374" s="89"/>
    </row>
    <row r="375">
      <c r="B375" s="89"/>
    </row>
    <row r="376">
      <c r="B376" s="89"/>
    </row>
    <row r="377">
      <c r="B377" s="89"/>
    </row>
    <row r="378">
      <c r="B378" s="89"/>
    </row>
    <row r="379">
      <c r="B379" s="89"/>
    </row>
    <row r="380">
      <c r="B380" s="89"/>
    </row>
    <row r="381">
      <c r="B381" s="89"/>
    </row>
    <row r="382">
      <c r="B382" s="89"/>
    </row>
    <row r="383">
      <c r="B383" s="89"/>
    </row>
    <row r="384">
      <c r="B384" s="89"/>
    </row>
    <row r="385">
      <c r="B385" s="89"/>
    </row>
    <row r="386">
      <c r="B386" s="89"/>
    </row>
    <row r="387">
      <c r="B387" s="89"/>
    </row>
    <row r="388">
      <c r="B388" s="89"/>
    </row>
    <row r="389">
      <c r="B389" s="89"/>
    </row>
    <row r="390">
      <c r="B390" s="89"/>
    </row>
    <row r="391">
      <c r="B391" s="89"/>
    </row>
    <row r="392">
      <c r="B392" s="89"/>
    </row>
    <row r="393">
      <c r="B393" s="89"/>
    </row>
    <row r="394">
      <c r="B394" s="89"/>
    </row>
    <row r="395">
      <c r="B395" s="89"/>
    </row>
    <row r="396">
      <c r="B396" s="89"/>
    </row>
    <row r="397">
      <c r="B397" s="89"/>
    </row>
    <row r="398">
      <c r="B398" s="89"/>
    </row>
    <row r="399">
      <c r="B399" s="89"/>
    </row>
    <row r="400">
      <c r="B400" s="89"/>
    </row>
    <row r="401">
      <c r="B401" s="89"/>
    </row>
    <row r="402">
      <c r="B402" s="89"/>
    </row>
    <row r="403">
      <c r="B403" s="89"/>
    </row>
    <row r="404">
      <c r="B404" s="89"/>
    </row>
    <row r="405">
      <c r="B405" s="89"/>
    </row>
    <row r="406">
      <c r="B406" s="89"/>
    </row>
    <row r="407">
      <c r="B407" s="89"/>
    </row>
    <row r="408">
      <c r="B408" s="89"/>
    </row>
    <row r="409">
      <c r="B409" s="89"/>
    </row>
    <row r="410">
      <c r="B410" s="89"/>
    </row>
    <row r="411">
      <c r="B411" s="89"/>
    </row>
    <row r="412">
      <c r="B412" s="89"/>
    </row>
    <row r="413">
      <c r="B413" s="89"/>
    </row>
    <row r="414">
      <c r="B414" s="89"/>
    </row>
    <row r="415">
      <c r="B415" s="89"/>
    </row>
    <row r="416">
      <c r="B416" s="89"/>
    </row>
    <row r="417">
      <c r="B417" s="89"/>
    </row>
    <row r="418">
      <c r="B418" s="89"/>
    </row>
    <row r="419">
      <c r="B419" s="89"/>
    </row>
    <row r="420">
      <c r="B420" s="89"/>
    </row>
    <row r="421">
      <c r="B421" s="89"/>
    </row>
    <row r="422">
      <c r="B422" s="89"/>
    </row>
    <row r="423">
      <c r="B423" s="89"/>
    </row>
    <row r="424">
      <c r="B424" s="89"/>
    </row>
    <row r="425">
      <c r="B425" s="89"/>
    </row>
    <row r="426">
      <c r="B426" s="89"/>
    </row>
    <row r="427">
      <c r="B427" s="89"/>
    </row>
    <row r="428">
      <c r="B428" s="89"/>
    </row>
    <row r="429">
      <c r="B429" s="89"/>
    </row>
    <row r="430">
      <c r="B430" s="89"/>
    </row>
    <row r="431">
      <c r="B431" s="89"/>
    </row>
    <row r="432">
      <c r="B432" s="89"/>
    </row>
    <row r="433">
      <c r="B433" s="89"/>
    </row>
    <row r="434">
      <c r="B434" s="89"/>
    </row>
    <row r="435">
      <c r="B435" s="89"/>
    </row>
    <row r="436">
      <c r="B436" s="89"/>
    </row>
    <row r="437">
      <c r="B437" s="89"/>
    </row>
    <row r="438">
      <c r="B438" s="89"/>
    </row>
    <row r="439">
      <c r="B439" s="89"/>
    </row>
    <row r="440">
      <c r="B440" s="89"/>
    </row>
    <row r="441">
      <c r="B441" s="89"/>
    </row>
    <row r="442">
      <c r="B442" s="89"/>
    </row>
    <row r="443">
      <c r="B443" s="89"/>
    </row>
    <row r="444">
      <c r="B444" s="89"/>
    </row>
    <row r="445">
      <c r="B445" s="89"/>
    </row>
    <row r="446">
      <c r="B446" s="89"/>
    </row>
    <row r="447">
      <c r="B447" s="89"/>
    </row>
    <row r="448">
      <c r="B448" s="89"/>
    </row>
    <row r="449">
      <c r="B449" s="89"/>
    </row>
    <row r="450">
      <c r="B450" s="89"/>
    </row>
    <row r="451">
      <c r="B451" s="89"/>
    </row>
    <row r="452">
      <c r="B452" s="89"/>
    </row>
    <row r="453">
      <c r="B453" s="89"/>
    </row>
    <row r="454">
      <c r="B454" s="89"/>
    </row>
    <row r="455">
      <c r="B455" s="89"/>
    </row>
    <row r="456">
      <c r="B456" s="89"/>
    </row>
    <row r="457">
      <c r="B457" s="89"/>
    </row>
    <row r="458">
      <c r="B458" s="89"/>
    </row>
    <row r="459">
      <c r="B459" s="89"/>
    </row>
    <row r="460">
      <c r="B460" s="89"/>
    </row>
    <row r="461">
      <c r="B461" s="89"/>
    </row>
    <row r="462">
      <c r="B462" s="89"/>
    </row>
    <row r="463">
      <c r="B463" s="89"/>
    </row>
    <row r="464">
      <c r="B464" s="89"/>
    </row>
    <row r="465">
      <c r="B465" s="89"/>
    </row>
    <row r="466">
      <c r="B466" s="89"/>
    </row>
    <row r="467">
      <c r="B467" s="89"/>
    </row>
    <row r="468">
      <c r="B468" s="89"/>
    </row>
    <row r="469">
      <c r="B469" s="89"/>
    </row>
    <row r="470">
      <c r="B470" s="89"/>
    </row>
    <row r="471">
      <c r="B471" s="89"/>
    </row>
    <row r="472">
      <c r="B472" s="89"/>
    </row>
    <row r="473">
      <c r="B473" s="89"/>
    </row>
    <row r="474">
      <c r="B474" s="89"/>
    </row>
    <row r="475">
      <c r="B475" s="89"/>
    </row>
    <row r="476">
      <c r="B476" s="89"/>
    </row>
    <row r="477">
      <c r="B477" s="89"/>
    </row>
    <row r="478">
      <c r="B478" s="89"/>
    </row>
    <row r="479">
      <c r="B479" s="89"/>
    </row>
    <row r="480">
      <c r="B480" s="89"/>
    </row>
    <row r="481">
      <c r="B481" s="89"/>
    </row>
    <row r="482">
      <c r="B482" s="89"/>
    </row>
    <row r="483">
      <c r="B483" s="89"/>
    </row>
    <row r="484">
      <c r="B484" s="89"/>
    </row>
    <row r="485">
      <c r="B485" s="89"/>
    </row>
    <row r="486">
      <c r="B486" s="89"/>
    </row>
    <row r="487">
      <c r="B487" s="89"/>
    </row>
    <row r="488">
      <c r="B488" s="89"/>
    </row>
    <row r="489">
      <c r="B489" s="89"/>
    </row>
    <row r="490">
      <c r="B490" s="89"/>
    </row>
    <row r="491">
      <c r="B491" s="89"/>
    </row>
    <row r="492">
      <c r="B492" s="89"/>
    </row>
    <row r="493">
      <c r="B493" s="89"/>
    </row>
    <row r="494">
      <c r="B494" s="89"/>
    </row>
    <row r="495">
      <c r="B495" s="89"/>
    </row>
    <row r="496">
      <c r="B496" s="89"/>
    </row>
    <row r="497">
      <c r="B497" s="89"/>
    </row>
    <row r="498">
      <c r="B498" s="89"/>
    </row>
    <row r="499">
      <c r="B499" s="89"/>
    </row>
    <row r="500">
      <c r="B500" s="89"/>
    </row>
    <row r="501">
      <c r="B501" s="89"/>
    </row>
    <row r="502">
      <c r="B502" s="89"/>
    </row>
    <row r="503">
      <c r="B503" s="89"/>
    </row>
    <row r="504">
      <c r="B504" s="89"/>
    </row>
    <row r="505">
      <c r="B505" s="89"/>
    </row>
    <row r="506">
      <c r="B506" s="89"/>
    </row>
    <row r="507">
      <c r="B507" s="89"/>
    </row>
    <row r="508">
      <c r="B508" s="89"/>
    </row>
    <row r="509">
      <c r="B509" s="89"/>
    </row>
    <row r="510">
      <c r="B510" s="89"/>
    </row>
    <row r="511">
      <c r="B511" s="89"/>
    </row>
    <row r="512">
      <c r="B512" s="89"/>
    </row>
    <row r="513">
      <c r="B513" s="89"/>
    </row>
    <row r="514">
      <c r="B514" s="89"/>
    </row>
    <row r="515">
      <c r="B515" s="89"/>
    </row>
    <row r="516">
      <c r="B516" s="89"/>
    </row>
    <row r="517">
      <c r="B517" s="89"/>
    </row>
    <row r="518">
      <c r="B518" s="89"/>
    </row>
    <row r="519">
      <c r="B519" s="89"/>
    </row>
    <row r="520">
      <c r="B520" s="89"/>
    </row>
    <row r="521">
      <c r="B521" s="89"/>
    </row>
    <row r="522">
      <c r="B522" s="89"/>
    </row>
    <row r="523">
      <c r="B523" s="89"/>
    </row>
    <row r="524">
      <c r="B524" s="89"/>
    </row>
    <row r="525">
      <c r="B525" s="89"/>
    </row>
    <row r="526">
      <c r="B526" s="89"/>
    </row>
    <row r="527">
      <c r="B527" s="89"/>
    </row>
    <row r="528">
      <c r="B528" s="89"/>
    </row>
    <row r="529">
      <c r="B529" s="89"/>
    </row>
    <row r="530">
      <c r="B530" s="89"/>
    </row>
    <row r="531">
      <c r="B531" s="89"/>
    </row>
    <row r="532">
      <c r="B532" s="89"/>
    </row>
    <row r="533">
      <c r="B533" s="89"/>
    </row>
    <row r="534">
      <c r="B534" s="89"/>
    </row>
    <row r="535">
      <c r="B535" s="89"/>
    </row>
    <row r="536">
      <c r="B536" s="89"/>
    </row>
    <row r="537">
      <c r="B537" s="89"/>
    </row>
    <row r="538">
      <c r="B538" s="89"/>
    </row>
    <row r="539">
      <c r="B539" s="89"/>
    </row>
    <row r="540">
      <c r="B540" s="89"/>
    </row>
    <row r="541">
      <c r="B541" s="89"/>
    </row>
    <row r="542">
      <c r="B542" s="89"/>
    </row>
    <row r="543">
      <c r="B543" s="89"/>
    </row>
    <row r="544">
      <c r="B544" s="89"/>
    </row>
    <row r="545">
      <c r="B545" s="89"/>
    </row>
    <row r="546">
      <c r="B546" s="89"/>
    </row>
    <row r="547">
      <c r="B547" s="89"/>
    </row>
    <row r="548">
      <c r="B548" s="89"/>
    </row>
    <row r="549">
      <c r="B549" s="89"/>
    </row>
    <row r="550">
      <c r="B550" s="89"/>
    </row>
    <row r="551">
      <c r="B551" s="89"/>
    </row>
    <row r="552">
      <c r="B552" s="89"/>
    </row>
    <row r="553">
      <c r="B553" s="89"/>
    </row>
    <row r="554">
      <c r="B554" s="89"/>
    </row>
    <row r="555">
      <c r="B555" s="89"/>
    </row>
    <row r="556">
      <c r="B556" s="89"/>
    </row>
    <row r="557">
      <c r="B557" s="89"/>
    </row>
    <row r="558">
      <c r="B558" s="89"/>
    </row>
    <row r="559">
      <c r="B559" s="89"/>
    </row>
    <row r="560">
      <c r="B560" s="89"/>
    </row>
    <row r="561">
      <c r="B561" s="89"/>
    </row>
    <row r="562">
      <c r="B562" s="89"/>
    </row>
    <row r="563">
      <c r="B563" s="89"/>
    </row>
    <row r="564">
      <c r="B564" s="89"/>
    </row>
    <row r="565">
      <c r="B565" s="89"/>
    </row>
    <row r="566">
      <c r="B566" s="89"/>
    </row>
    <row r="567">
      <c r="B567" s="89"/>
    </row>
    <row r="568">
      <c r="B568" s="89"/>
    </row>
    <row r="569">
      <c r="B569" s="89"/>
    </row>
    <row r="570">
      <c r="B570" s="89"/>
    </row>
    <row r="571">
      <c r="B571" s="89"/>
    </row>
    <row r="572">
      <c r="B572" s="89"/>
    </row>
    <row r="573">
      <c r="B573" s="89"/>
    </row>
    <row r="574">
      <c r="B574" s="89"/>
    </row>
    <row r="575">
      <c r="B575" s="89"/>
    </row>
    <row r="576">
      <c r="B576" s="89"/>
    </row>
    <row r="577">
      <c r="B577" s="89"/>
    </row>
    <row r="578">
      <c r="B578" s="89"/>
    </row>
    <row r="579">
      <c r="B579" s="89"/>
    </row>
    <row r="580">
      <c r="B580" s="89"/>
    </row>
    <row r="581">
      <c r="B581" s="89"/>
    </row>
    <row r="582">
      <c r="B582" s="89"/>
    </row>
    <row r="583">
      <c r="B583" s="89"/>
    </row>
    <row r="584">
      <c r="B584" s="89"/>
    </row>
    <row r="585">
      <c r="B585" s="89"/>
    </row>
    <row r="586">
      <c r="B586" s="89"/>
    </row>
    <row r="587">
      <c r="B587" s="89"/>
    </row>
    <row r="588">
      <c r="B588" s="89"/>
    </row>
    <row r="589">
      <c r="B589" s="89"/>
    </row>
    <row r="590">
      <c r="B590" s="89"/>
    </row>
    <row r="591">
      <c r="B591" s="89"/>
    </row>
    <row r="592">
      <c r="B592" s="89"/>
    </row>
    <row r="593">
      <c r="B593" s="89"/>
    </row>
    <row r="594">
      <c r="B594" s="89"/>
    </row>
    <row r="595">
      <c r="B595" s="89"/>
    </row>
    <row r="596">
      <c r="B596" s="89"/>
    </row>
    <row r="597">
      <c r="B597" s="89"/>
    </row>
    <row r="598">
      <c r="B598" s="89"/>
    </row>
    <row r="599">
      <c r="B599" s="89"/>
    </row>
    <row r="600">
      <c r="B600" s="89"/>
    </row>
    <row r="601">
      <c r="B601" s="89"/>
    </row>
    <row r="602">
      <c r="B602" s="89"/>
    </row>
    <row r="603">
      <c r="B603" s="89"/>
    </row>
    <row r="604">
      <c r="B604" s="89"/>
    </row>
    <row r="605">
      <c r="B605" s="89"/>
    </row>
    <row r="606">
      <c r="B606" s="89"/>
    </row>
    <row r="607">
      <c r="B607" s="89"/>
    </row>
    <row r="608">
      <c r="B608" s="89"/>
    </row>
    <row r="609">
      <c r="B609" s="89"/>
    </row>
    <row r="610">
      <c r="B610" s="89"/>
    </row>
    <row r="611">
      <c r="B611" s="89"/>
    </row>
    <row r="612">
      <c r="B612" s="89"/>
    </row>
    <row r="613">
      <c r="B613" s="89"/>
    </row>
    <row r="614">
      <c r="B614" s="89"/>
    </row>
    <row r="615">
      <c r="B615" s="89"/>
    </row>
    <row r="616">
      <c r="B616" s="89"/>
    </row>
    <row r="617">
      <c r="B617" s="89"/>
    </row>
    <row r="618">
      <c r="B618" s="89"/>
    </row>
    <row r="619">
      <c r="B619" s="89"/>
    </row>
    <row r="620">
      <c r="B620" s="89"/>
    </row>
    <row r="621">
      <c r="B621" s="89"/>
    </row>
    <row r="622">
      <c r="B622" s="89"/>
    </row>
    <row r="623">
      <c r="B623" s="89"/>
    </row>
    <row r="624">
      <c r="B624" s="89"/>
    </row>
    <row r="625">
      <c r="B625" s="89"/>
    </row>
    <row r="626">
      <c r="B626" s="89"/>
    </row>
    <row r="627">
      <c r="B627" s="89"/>
    </row>
    <row r="628">
      <c r="B628" s="89"/>
    </row>
    <row r="629">
      <c r="B629" s="89"/>
    </row>
    <row r="630">
      <c r="B630" s="89"/>
    </row>
    <row r="631">
      <c r="B631" s="89"/>
    </row>
    <row r="632">
      <c r="B632" s="89"/>
    </row>
    <row r="633">
      <c r="B633" s="89"/>
    </row>
    <row r="634">
      <c r="B634" s="89"/>
    </row>
    <row r="635">
      <c r="B635" s="89"/>
    </row>
    <row r="636">
      <c r="B636" s="89"/>
    </row>
    <row r="637">
      <c r="B637" s="89"/>
    </row>
    <row r="638">
      <c r="B638" s="89"/>
    </row>
    <row r="639">
      <c r="B639" s="89"/>
    </row>
    <row r="640">
      <c r="B640" s="89"/>
    </row>
    <row r="641">
      <c r="B641" s="89"/>
    </row>
    <row r="642">
      <c r="B642" s="89"/>
    </row>
    <row r="643">
      <c r="B643" s="89"/>
    </row>
    <row r="644">
      <c r="B644" s="89"/>
    </row>
    <row r="645">
      <c r="B645" s="89"/>
    </row>
    <row r="646">
      <c r="B646" s="89"/>
    </row>
    <row r="647">
      <c r="B647" s="89"/>
    </row>
    <row r="648">
      <c r="B648" s="89"/>
    </row>
    <row r="649">
      <c r="B649" s="89"/>
    </row>
    <row r="650">
      <c r="B650" s="89"/>
    </row>
    <row r="651">
      <c r="B651" s="89"/>
    </row>
    <row r="652">
      <c r="B652" s="89"/>
    </row>
    <row r="653">
      <c r="B653" s="89"/>
    </row>
    <row r="654">
      <c r="B654" s="89"/>
    </row>
    <row r="655">
      <c r="B655" s="89"/>
    </row>
    <row r="656">
      <c r="B656" s="89"/>
    </row>
    <row r="657">
      <c r="B657" s="89"/>
    </row>
    <row r="658">
      <c r="B658" s="89"/>
    </row>
    <row r="659">
      <c r="B659" s="89"/>
    </row>
    <row r="660">
      <c r="B660" s="89"/>
    </row>
    <row r="661">
      <c r="B661" s="89"/>
    </row>
    <row r="662">
      <c r="B662" s="89"/>
    </row>
    <row r="663">
      <c r="B663" s="89"/>
    </row>
    <row r="664">
      <c r="B664" s="89"/>
    </row>
    <row r="665">
      <c r="B665" s="89"/>
    </row>
    <row r="666">
      <c r="B666" s="89"/>
    </row>
    <row r="667">
      <c r="B667" s="89"/>
    </row>
    <row r="668">
      <c r="B668" s="89"/>
    </row>
    <row r="669">
      <c r="B669" s="89"/>
    </row>
    <row r="670">
      <c r="B670" s="89"/>
    </row>
    <row r="671">
      <c r="B671" s="89"/>
    </row>
    <row r="672">
      <c r="B672" s="89"/>
    </row>
    <row r="673">
      <c r="B673" s="89"/>
    </row>
    <row r="674">
      <c r="B674" s="89"/>
    </row>
    <row r="675">
      <c r="B675" s="89"/>
    </row>
    <row r="676">
      <c r="B676" s="89"/>
    </row>
    <row r="677">
      <c r="B677" s="89"/>
    </row>
    <row r="678">
      <c r="B678" s="89"/>
    </row>
    <row r="679">
      <c r="B679" s="89"/>
    </row>
    <row r="680">
      <c r="B680" s="89"/>
    </row>
    <row r="681">
      <c r="B681" s="89"/>
    </row>
    <row r="682">
      <c r="B682" s="89"/>
    </row>
    <row r="683">
      <c r="B683" s="89"/>
    </row>
    <row r="684">
      <c r="B684" s="89"/>
    </row>
    <row r="685">
      <c r="B685" s="89"/>
    </row>
    <row r="686">
      <c r="B686" s="89"/>
    </row>
    <row r="687">
      <c r="B687" s="89"/>
    </row>
    <row r="688">
      <c r="B688" s="89"/>
    </row>
    <row r="689">
      <c r="B689" s="89"/>
    </row>
    <row r="690">
      <c r="B690" s="89"/>
    </row>
    <row r="691">
      <c r="B691" s="89"/>
    </row>
    <row r="692">
      <c r="B692" s="89"/>
    </row>
    <row r="693">
      <c r="B693" s="89"/>
    </row>
    <row r="694">
      <c r="B694" s="89"/>
    </row>
    <row r="695">
      <c r="B695" s="89"/>
    </row>
    <row r="696">
      <c r="B696" s="89"/>
    </row>
    <row r="697">
      <c r="B697" s="89"/>
    </row>
    <row r="698">
      <c r="B698" s="89"/>
    </row>
    <row r="699">
      <c r="B699" s="89"/>
    </row>
    <row r="700">
      <c r="B700" s="89"/>
    </row>
    <row r="701">
      <c r="B701" s="89"/>
    </row>
    <row r="702">
      <c r="B702" s="89"/>
    </row>
    <row r="703">
      <c r="B703" s="89"/>
    </row>
    <row r="704">
      <c r="B704" s="89"/>
    </row>
    <row r="705">
      <c r="B705" s="89"/>
    </row>
    <row r="706">
      <c r="B706" s="89"/>
    </row>
    <row r="707">
      <c r="B707" s="89"/>
    </row>
    <row r="708">
      <c r="B708" s="89"/>
    </row>
    <row r="709">
      <c r="B709" s="89"/>
    </row>
    <row r="710">
      <c r="B710" s="89"/>
    </row>
    <row r="711">
      <c r="B711" s="89"/>
    </row>
    <row r="712">
      <c r="B712" s="89"/>
    </row>
    <row r="713">
      <c r="B713" s="89"/>
    </row>
    <row r="714">
      <c r="B714" s="89"/>
    </row>
    <row r="715">
      <c r="B715" s="89"/>
    </row>
    <row r="716">
      <c r="B716" s="89"/>
    </row>
    <row r="717">
      <c r="B717" s="89"/>
    </row>
    <row r="718">
      <c r="B718" s="89"/>
    </row>
    <row r="719">
      <c r="B719" s="89"/>
    </row>
    <row r="720">
      <c r="B720" s="89"/>
    </row>
    <row r="721">
      <c r="B721" s="89"/>
    </row>
    <row r="722">
      <c r="B722" s="89"/>
    </row>
    <row r="723">
      <c r="B723" s="89"/>
    </row>
    <row r="724">
      <c r="B724" s="89"/>
    </row>
    <row r="725">
      <c r="B725" s="89"/>
    </row>
    <row r="726">
      <c r="B726" s="89"/>
    </row>
    <row r="727">
      <c r="B727" s="89"/>
    </row>
    <row r="728">
      <c r="B728" s="89"/>
    </row>
    <row r="729">
      <c r="B729" s="89"/>
    </row>
    <row r="730">
      <c r="B730" s="89"/>
    </row>
    <row r="731">
      <c r="B731" s="89"/>
    </row>
    <row r="732">
      <c r="B732" s="89"/>
    </row>
    <row r="733">
      <c r="B733" s="89"/>
    </row>
    <row r="734">
      <c r="B734" s="89"/>
    </row>
    <row r="735">
      <c r="B735" s="89"/>
    </row>
    <row r="736">
      <c r="B736" s="89"/>
    </row>
    <row r="737">
      <c r="B737" s="89"/>
    </row>
    <row r="738">
      <c r="B738" s="89"/>
    </row>
    <row r="739">
      <c r="B739" s="89"/>
    </row>
    <row r="740">
      <c r="B740" s="89"/>
    </row>
    <row r="741">
      <c r="B741" s="89"/>
    </row>
    <row r="742">
      <c r="B742" s="89"/>
    </row>
    <row r="743">
      <c r="B743" s="89"/>
    </row>
    <row r="744">
      <c r="B744" s="89"/>
    </row>
    <row r="745">
      <c r="B745" s="89"/>
    </row>
    <row r="746">
      <c r="B746" s="89"/>
    </row>
    <row r="747">
      <c r="B747" s="89"/>
    </row>
    <row r="748">
      <c r="B748" s="89"/>
    </row>
    <row r="749">
      <c r="B749" s="89"/>
    </row>
    <row r="750">
      <c r="B750" s="89"/>
    </row>
    <row r="751">
      <c r="B751" s="89"/>
    </row>
    <row r="752">
      <c r="B752" s="89"/>
    </row>
    <row r="753">
      <c r="B753" s="89"/>
    </row>
    <row r="754">
      <c r="B754" s="89"/>
    </row>
    <row r="755">
      <c r="B755" s="89"/>
    </row>
    <row r="756">
      <c r="B756" s="89"/>
    </row>
    <row r="757">
      <c r="B757" s="89"/>
    </row>
    <row r="758">
      <c r="B758" s="89"/>
    </row>
    <row r="759">
      <c r="B759" s="89"/>
    </row>
    <row r="760">
      <c r="B760" s="89"/>
    </row>
    <row r="761">
      <c r="B761" s="89"/>
    </row>
    <row r="762">
      <c r="B762" s="89"/>
    </row>
    <row r="763">
      <c r="B763" s="89"/>
    </row>
    <row r="764">
      <c r="B764" s="89"/>
    </row>
    <row r="765">
      <c r="B765" s="89"/>
    </row>
    <row r="766">
      <c r="B766" s="89"/>
    </row>
    <row r="767">
      <c r="B767" s="89"/>
    </row>
    <row r="768">
      <c r="B768" s="89"/>
    </row>
    <row r="769">
      <c r="B769" s="89"/>
    </row>
    <row r="770">
      <c r="B770" s="89"/>
    </row>
    <row r="771">
      <c r="B771" s="89"/>
    </row>
    <row r="772">
      <c r="B772" s="89"/>
    </row>
    <row r="773">
      <c r="B773" s="89"/>
    </row>
    <row r="774">
      <c r="B774" s="89"/>
    </row>
    <row r="775">
      <c r="B775" s="89"/>
    </row>
    <row r="776">
      <c r="B776" s="89"/>
    </row>
    <row r="777">
      <c r="B777" s="89"/>
    </row>
    <row r="778">
      <c r="B778" s="89"/>
    </row>
    <row r="779">
      <c r="B779" s="89"/>
    </row>
    <row r="780">
      <c r="B780" s="89"/>
    </row>
    <row r="781">
      <c r="B781" s="89"/>
    </row>
    <row r="782">
      <c r="B782" s="89"/>
    </row>
    <row r="783">
      <c r="B783" s="89"/>
    </row>
    <row r="784">
      <c r="B784" s="89"/>
    </row>
    <row r="785">
      <c r="B785" s="89"/>
    </row>
    <row r="786">
      <c r="B786" s="89"/>
    </row>
    <row r="787">
      <c r="B787" s="89"/>
    </row>
    <row r="788">
      <c r="B788" s="89"/>
    </row>
    <row r="789">
      <c r="B789" s="89"/>
    </row>
    <row r="790">
      <c r="B790" s="89"/>
    </row>
    <row r="791">
      <c r="B791" s="89"/>
    </row>
    <row r="792">
      <c r="B792" s="89"/>
    </row>
    <row r="793">
      <c r="B793" s="89"/>
    </row>
    <row r="794">
      <c r="B794" s="89"/>
    </row>
    <row r="795">
      <c r="B795" s="89"/>
    </row>
    <row r="796">
      <c r="B796" s="89"/>
    </row>
    <row r="797">
      <c r="B797" s="89"/>
    </row>
    <row r="798">
      <c r="B798" s="89"/>
    </row>
    <row r="799">
      <c r="B799" s="89"/>
    </row>
    <row r="800">
      <c r="B800" s="89"/>
    </row>
    <row r="801">
      <c r="B801" s="89"/>
    </row>
    <row r="802">
      <c r="B802" s="89"/>
    </row>
    <row r="803">
      <c r="B803" s="89"/>
    </row>
    <row r="804">
      <c r="B804" s="89"/>
    </row>
    <row r="805">
      <c r="B805" s="89"/>
    </row>
    <row r="806">
      <c r="B806" s="89"/>
    </row>
    <row r="807">
      <c r="B807" s="89"/>
    </row>
    <row r="808">
      <c r="B808" s="89"/>
    </row>
    <row r="809">
      <c r="B809" s="89"/>
    </row>
    <row r="810">
      <c r="B810" s="89"/>
    </row>
    <row r="811">
      <c r="B811" s="89"/>
    </row>
    <row r="812">
      <c r="B812" s="89"/>
    </row>
    <row r="813">
      <c r="B813" s="89"/>
    </row>
    <row r="814">
      <c r="B814" s="89"/>
    </row>
    <row r="815">
      <c r="B815" s="89"/>
    </row>
    <row r="816">
      <c r="B816" s="89"/>
    </row>
    <row r="817">
      <c r="B817" s="89"/>
    </row>
    <row r="818">
      <c r="B818" s="89"/>
    </row>
    <row r="819">
      <c r="B819" s="89"/>
    </row>
    <row r="820">
      <c r="B820" s="89"/>
    </row>
    <row r="821">
      <c r="B821" s="89"/>
    </row>
    <row r="822">
      <c r="B822" s="89"/>
    </row>
    <row r="823">
      <c r="B823" s="89"/>
    </row>
    <row r="824">
      <c r="B824" s="89"/>
    </row>
    <row r="825">
      <c r="B825" s="89"/>
    </row>
    <row r="826">
      <c r="B826" s="89"/>
    </row>
    <row r="827">
      <c r="B827" s="89"/>
    </row>
    <row r="828">
      <c r="B828" s="89"/>
    </row>
    <row r="829">
      <c r="B829" s="89"/>
    </row>
    <row r="830">
      <c r="B830" s="89"/>
    </row>
    <row r="831">
      <c r="B831" s="89"/>
    </row>
    <row r="832">
      <c r="B832" s="89"/>
    </row>
    <row r="833">
      <c r="B833" s="89"/>
    </row>
    <row r="834">
      <c r="B834" s="89"/>
    </row>
    <row r="835">
      <c r="B835" s="89"/>
    </row>
    <row r="836">
      <c r="B836" s="89"/>
    </row>
    <row r="837">
      <c r="B837" s="89"/>
    </row>
    <row r="838">
      <c r="B838" s="89"/>
    </row>
    <row r="839">
      <c r="B839" s="89"/>
    </row>
    <row r="840">
      <c r="B840" s="89"/>
    </row>
    <row r="841">
      <c r="B841" s="89"/>
    </row>
    <row r="842">
      <c r="B842" s="89"/>
    </row>
    <row r="843">
      <c r="B843" s="89"/>
    </row>
    <row r="844">
      <c r="B844" s="89"/>
    </row>
    <row r="845">
      <c r="B845" s="89"/>
    </row>
    <row r="846">
      <c r="B846" s="89"/>
    </row>
    <row r="847">
      <c r="B847" s="89"/>
    </row>
    <row r="848">
      <c r="B848" s="89"/>
    </row>
    <row r="849">
      <c r="B849" s="89"/>
    </row>
    <row r="850">
      <c r="B850" s="89"/>
    </row>
    <row r="851">
      <c r="B851" s="89"/>
    </row>
    <row r="852">
      <c r="B852" s="89"/>
    </row>
    <row r="853">
      <c r="B853" s="89"/>
    </row>
    <row r="854">
      <c r="B854" s="89"/>
    </row>
    <row r="855">
      <c r="B855" s="89"/>
    </row>
    <row r="856">
      <c r="B856" s="89"/>
    </row>
    <row r="857">
      <c r="B857" s="89"/>
    </row>
    <row r="858">
      <c r="B858" s="89"/>
    </row>
    <row r="859">
      <c r="B859" s="89"/>
    </row>
    <row r="860">
      <c r="B860" s="89"/>
    </row>
    <row r="861">
      <c r="B861" s="89"/>
    </row>
    <row r="862">
      <c r="B862" s="89"/>
    </row>
    <row r="863">
      <c r="B863" s="89"/>
    </row>
    <row r="864">
      <c r="B864" s="89"/>
    </row>
    <row r="865">
      <c r="B865" s="89"/>
    </row>
    <row r="866">
      <c r="B866" s="89"/>
    </row>
    <row r="867">
      <c r="B867" s="89"/>
    </row>
    <row r="868">
      <c r="B868" s="89"/>
    </row>
    <row r="869">
      <c r="B869" s="89"/>
    </row>
    <row r="870">
      <c r="B870" s="89"/>
    </row>
    <row r="871">
      <c r="B871" s="89"/>
    </row>
    <row r="872">
      <c r="B872" s="89"/>
    </row>
    <row r="873">
      <c r="B873" s="89"/>
    </row>
    <row r="874">
      <c r="B874" s="89"/>
    </row>
    <row r="875">
      <c r="B875" s="89"/>
    </row>
    <row r="876">
      <c r="B876" s="89"/>
    </row>
    <row r="877">
      <c r="B877" s="89"/>
    </row>
    <row r="878">
      <c r="B878" s="89"/>
    </row>
    <row r="879">
      <c r="B879" s="89"/>
    </row>
    <row r="880">
      <c r="B880" s="89"/>
    </row>
    <row r="881">
      <c r="B881" s="89"/>
    </row>
    <row r="882">
      <c r="B882" s="89"/>
    </row>
    <row r="883">
      <c r="B883" s="89"/>
    </row>
    <row r="884">
      <c r="B884" s="89"/>
    </row>
    <row r="885">
      <c r="B885" s="89"/>
    </row>
    <row r="886">
      <c r="B886" s="89"/>
    </row>
    <row r="887">
      <c r="B887" s="89"/>
    </row>
    <row r="888">
      <c r="B888" s="89"/>
    </row>
    <row r="889">
      <c r="B889" s="89"/>
    </row>
    <row r="890">
      <c r="B890" s="89"/>
    </row>
    <row r="891">
      <c r="B891" s="89"/>
    </row>
    <row r="892">
      <c r="B892" s="89"/>
    </row>
    <row r="893">
      <c r="B893" s="89"/>
    </row>
    <row r="894">
      <c r="B894" s="89"/>
    </row>
    <row r="895">
      <c r="B895" s="89"/>
    </row>
    <row r="896">
      <c r="B896" s="89"/>
    </row>
    <row r="897">
      <c r="B897" s="89"/>
    </row>
    <row r="898">
      <c r="B898" s="89"/>
    </row>
    <row r="899">
      <c r="B899" s="89"/>
    </row>
    <row r="900">
      <c r="B900" s="89"/>
    </row>
    <row r="901">
      <c r="B901" s="89"/>
    </row>
    <row r="902">
      <c r="B902" s="89"/>
    </row>
    <row r="903">
      <c r="B903" s="89"/>
    </row>
    <row r="904">
      <c r="B904" s="89"/>
    </row>
    <row r="905">
      <c r="B905" s="89"/>
    </row>
    <row r="906">
      <c r="B906" s="89"/>
    </row>
    <row r="907">
      <c r="B907" s="89"/>
    </row>
    <row r="908">
      <c r="B908" s="89"/>
    </row>
    <row r="909">
      <c r="B909" s="89"/>
    </row>
    <row r="910">
      <c r="B910" s="89"/>
    </row>
    <row r="911">
      <c r="B911" s="89"/>
    </row>
    <row r="912">
      <c r="B912" s="89"/>
    </row>
    <row r="913">
      <c r="B913" s="89"/>
    </row>
    <row r="914">
      <c r="B914" s="89"/>
    </row>
    <row r="915">
      <c r="B915" s="89"/>
    </row>
    <row r="916">
      <c r="B916" s="89"/>
    </row>
    <row r="917">
      <c r="B917" s="89"/>
    </row>
    <row r="918">
      <c r="B918" s="89"/>
    </row>
    <row r="919">
      <c r="B919" s="89"/>
    </row>
    <row r="920">
      <c r="B920" s="89"/>
    </row>
    <row r="921">
      <c r="B921" s="89"/>
    </row>
    <row r="922">
      <c r="B922" s="89"/>
    </row>
    <row r="923">
      <c r="B923" s="89"/>
    </row>
    <row r="924">
      <c r="B924" s="89"/>
    </row>
    <row r="925">
      <c r="B925" s="89"/>
    </row>
    <row r="926">
      <c r="B926" s="89"/>
    </row>
    <row r="927">
      <c r="B927" s="89"/>
    </row>
    <row r="928">
      <c r="B928" s="89"/>
    </row>
    <row r="929">
      <c r="B929" s="89"/>
    </row>
    <row r="930">
      <c r="B930" s="89"/>
    </row>
    <row r="931">
      <c r="B931" s="89"/>
    </row>
    <row r="932">
      <c r="B932" s="89"/>
    </row>
    <row r="933">
      <c r="B933" s="89"/>
    </row>
    <row r="934">
      <c r="B934" s="89"/>
    </row>
    <row r="935">
      <c r="B935" s="89"/>
    </row>
  </sheetData>
  <mergeCells count="1">
    <mergeCell ref="A2:AA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9.75"/>
    <col customWidth="1" min="3" max="3" width="15.38"/>
    <col customWidth="1" min="4" max="4" width="16.75"/>
    <col customWidth="1" min="8" max="8" width="24.88"/>
  </cols>
  <sheetData>
    <row r="1">
      <c r="A1" s="17"/>
      <c r="B1" s="17"/>
      <c r="C1" s="17"/>
      <c r="D1" s="17"/>
      <c r="E1" s="17"/>
      <c r="F1" s="295"/>
      <c r="G1" s="17"/>
      <c r="H1" s="17"/>
    </row>
    <row r="2">
      <c r="A2" s="197" t="s">
        <v>117</v>
      </c>
      <c r="B2" s="197" t="s">
        <v>118</v>
      </c>
      <c r="C2" s="197" t="s">
        <v>119</v>
      </c>
      <c r="D2" s="197" t="s">
        <v>18</v>
      </c>
      <c r="E2" s="197" t="s">
        <v>120</v>
      </c>
      <c r="F2" s="296" t="s">
        <v>121</v>
      </c>
      <c r="G2" s="197" t="s">
        <v>122</v>
      </c>
      <c r="H2" s="197" t="s">
        <v>123</v>
      </c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297"/>
      <c r="W2" s="297"/>
      <c r="X2" s="297"/>
      <c r="Y2" s="297"/>
      <c r="Z2" s="297"/>
    </row>
    <row r="3">
      <c r="A3" s="298" t="s">
        <v>124</v>
      </c>
      <c r="B3" s="52">
        <v>8352.0</v>
      </c>
      <c r="C3" s="52">
        <v>500.0</v>
      </c>
      <c r="D3" s="52">
        <v>5.85</v>
      </c>
      <c r="E3" s="52">
        <v>7.31</v>
      </c>
      <c r="F3" s="295">
        <f>E3/D3-1</f>
        <v>0.2495726496</v>
      </c>
      <c r="G3" s="17">
        <f>F3*C3</f>
        <v>124.7863248</v>
      </c>
      <c r="H3" s="52" t="s">
        <v>125</v>
      </c>
    </row>
    <row r="4">
      <c r="A4" s="17"/>
      <c r="B4" s="17"/>
      <c r="C4" s="17"/>
      <c r="D4" s="17"/>
      <c r="E4" s="17"/>
      <c r="F4" s="295"/>
      <c r="G4" s="17"/>
      <c r="H4" s="17"/>
    </row>
    <row r="5">
      <c r="A5" s="17"/>
      <c r="B5" s="17"/>
      <c r="C5" s="17"/>
      <c r="D5" s="17"/>
      <c r="E5" s="17"/>
      <c r="F5" s="295"/>
      <c r="G5" s="17"/>
      <c r="H5" s="17"/>
    </row>
    <row r="6">
      <c r="A6" s="17"/>
      <c r="B6" s="17"/>
      <c r="C6" s="17"/>
      <c r="D6" s="17"/>
      <c r="E6" s="17"/>
      <c r="F6" s="295"/>
      <c r="G6" s="17"/>
      <c r="H6" s="17"/>
    </row>
    <row r="7">
      <c r="A7" s="17"/>
      <c r="B7" s="17"/>
      <c r="C7" s="17"/>
      <c r="D7" s="17"/>
      <c r="E7" s="17"/>
      <c r="F7" s="295"/>
      <c r="G7" s="17"/>
      <c r="H7" s="17"/>
    </row>
    <row r="8">
      <c r="A8" s="17"/>
      <c r="B8" s="17"/>
      <c r="C8" s="17"/>
      <c r="D8" s="17"/>
      <c r="E8" s="17"/>
      <c r="F8" s="295"/>
      <c r="G8" s="17"/>
      <c r="H8" s="17"/>
    </row>
    <row r="9">
      <c r="A9" s="17"/>
      <c r="B9" s="17"/>
      <c r="C9" s="17"/>
      <c r="D9" s="17"/>
      <c r="E9" s="17"/>
      <c r="F9" s="295"/>
      <c r="G9" s="17"/>
      <c r="H9" s="17"/>
    </row>
    <row r="10">
      <c r="A10" s="17"/>
      <c r="B10" s="17"/>
      <c r="C10" s="17"/>
      <c r="D10" s="17"/>
      <c r="E10" s="17"/>
      <c r="F10" s="295"/>
      <c r="G10" s="17"/>
      <c r="H10" s="17"/>
    </row>
    <row r="11">
      <c r="A11" s="17"/>
      <c r="B11" s="17"/>
      <c r="C11" s="17"/>
      <c r="D11" s="17"/>
      <c r="E11" s="17"/>
      <c r="F11" s="295"/>
      <c r="G11" s="17"/>
      <c r="H11" s="17"/>
    </row>
    <row r="12">
      <c r="A12" s="17"/>
      <c r="B12" s="17"/>
      <c r="C12" s="17"/>
      <c r="D12" s="17"/>
      <c r="E12" s="17"/>
      <c r="F12" s="295"/>
      <c r="G12" s="17"/>
      <c r="H12" s="17"/>
    </row>
    <row r="13">
      <c r="A13" s="17"/>
      <c r="B13" s="17"/>
      <c r="C13" s="17"/>
      <c r="D13" s="17"/>
      <c r="E13" s="17"/>
      <c r="F13" s="295"/>
      <c r="G13" s="17"/>
      <c r="H13" s="17"/>
    </row>
    <row r="14">
      <c r="A14" s="17"/>
      <c r="B14" s="17"/>
      <c r="C14" s="17"/>
      <c r="D14" s="17"/>
      <c r="E14" s="17"/>
      <c r="F14" s="295"/>
      <c r="G14" s="17"/>
      <c r="H14" s="17"/>
    </row>
    <row r="15">
      <c r="A15" s="17"/>
      <c r="B15" s="17"/>
      <c r="C15" s="17"/>
      <c r="D15" s="17"/>
      <c r="E15" s="17"/>
      <c r="F15" s="295"/>
      <c r="G15" s="17"/>
      <c r="H15" s="17"/>
    </row>
    <row r="16">
      <c r="A16" s="17"/>
      <c r="B16" s="17"/>
      <c r="C16" s="17"/>
      <c r="D16" s="17"/>
      <c r="E16" s="17"/>
      <c r="F16" s="295"/>
      <c r="G16" s="17"/>
      <c r="H16" s="17"/>
    </row>
    <row r="17">
      <c r="A17" s="17"/>
      <c r="B17" s="17"/>
      <c r="C17" s="17"/>
      <c r="D17" s="17"/>
      <c r="E17" s="17"/>
      <c r="F17" s="295"/>
      <c r="G17" s="17"/>
      <c r="H17" s="17"/>
    </row>
    <row r="18">
      <c r="A18" s="17"/>
      <c r="B18" s="17"/>
      <c r="C18" s="17"/>
      <c r="D18" s="17"/>
      <c r="E18" s="17"/>
      <c r="F18" s="295"/>
      <c r="G18" s="17"/>
      <c r="H18" s="17"/>
    </row>
    <row r="19">
      <c r="A19" s="17"/>
      <c r="B19" s="17"/>
      <c r="C19" s="17"/>
      <c r="D19" s="17"/>
      <c r="E19" s="17"/>
      <c r="F19" s="295"/>
      <c r="G19" s="17"/>
      <c r="H19" s="17"/>
    </row>
    <row r="20">
      <c r="A20" s="17"/>
      <c r="B20" s="17"/>
      <c r="C20" s="17"/>
      <c r="D20" s="17"/>
      <c r="E20" s="17"/>
      <c r="F20" s="295"/>
      <c r="G20" s="17"/>
      <c r="H20" s="17"/>
    </row>
    <row r="21">
      <c r="A21" s="17"/>
      <c r="B21" s="17"/>
      <c r="C21" s="17"/>
      <c r="D21" s="17"/>
      <c r="E21" s="17"/>
      <c r="F21" s="295"/>
      <c r="G21" s="17"/>
      <c r="H21" s="17"/>
    </row>
    <row r="22">
      <c r="A22" s="17"/>
      <c r="B22" s="17"/>
      <c r="C22" s="17"/>
      <c r="D22" s="17"/>
      <c r="E22" s="17"/>
      <c r="F22" s="295"/>
      <c r="G22" s="17"/>
      <c r="H22" s="17"/>
    </row>
    <row r="23">
      <c r="A23" s="17"/>
      <c r="B23" s="17"/>
      <c r="C23" s="17"/>
      <c r="D23" s="17"/>
      <c r="E23" s="17"/>
      <c r="F23" s="295"/>
      <c r="G23" s="17"/>
      <c r="H23" s="17"/>
    </row>
    <row r="24">
      <c r="A24" s="17"/>
      <c r="B24" s="17"/>
      <c r="C24" s="17"/>
      <c r="D24" s="17"/>
      <c r="E24" s="17"/>
      <c r="F24" s="295"/>
      <c r="G24" s="17"/>
      <c r="H24" s="17"/>
    </row>
    <row r="25">
      <c r="A25" s="17"/>
      <c r="B25" s="17"/>
      <c r="C25" s="17"/>
      <c r="D25" s="17"/>
      <c r="E25" s="17"/>
      <c r="F25" s="295"/>
      <c r="G25" s="17"/>
      <c r="H25" s="17"/>
    </row>
    <row r="26">
      <c r="A26" s="17"/>
      <c r="B26" s="17"/>
      <c r="C26" s="17"/>
      <c r="D26" s="17"/>
      <c r="E26" s="17"/>
      <c r="F26" s="295"/>
      <c r="G26" s="17"/>
      <c r="H26" s="17"/>
    </row>
    <row r="27">
      <c r="A27" s="17"/>
      <c r="B27" s="17"/>
      <c r="C27" s="17"/>
      <c r="D27" s="17"/>
      <c r="E27" s="17"/>
      <c r="F27" s="295"/>
      <c r="G27" s="17"/>
      <c r="H27" s="17"/>
    </row>
    <row r="28">
      <c r="A28" s="17"/>
      <c r="B28" s="17"/>
      <c r="C28" s="17"/>
      <c r="D28" s="17"/>
      <c r="E28" s="17"/>
      <c r="F28" s="295"/>
      <c r="G28" s="17"/>
      <c r="H28" s="17"/>
    </row>
    <row r="29">
      <c r="A29" s="17"/>
      <c r="B29" s="17"/>
      <c r="C29" s="17"/>
      <c r="D29" s="17"/>
      <c r="E29" s="17"/>
      <c r="F29" s="295"/>
      <c r="G29" s="17"/>
      <c r="H29" s="17"/>
    </row>
    <row r="30">
      <c r="A30" s="17"/>
      <c r="B30" s="17"/>
      <c r="C30" s="17"/>
      <c r="D30" s="17"/>
      <c r="E30" s="17"/>
      <c r="F30" s="295"/>
      <c r="G30" s="17"/>
      <c r="H30" s="17"/>
    </row>
    <row r="31">
      <c r="A31" s="17"/>
      <c r="B31" s="17"/>
      <c r="C31" s="17"/>
      <c r="D31" s="17"/>
      <c r="E31" s="17"/>
      <c r="F31" s="295"/>
      <c r="G31" s="17"/>
      <c r="H31" s="17"/>
    </row>
    <row r="32">
      <c r="A32" s="17"/>
      <c r="B32" s="17"/>
      <c r="C32" s="17"/>
      <c r="D32" s="17"/>
      <c r="E32" s="17"/>
      <c r="F32" s="295"/>
      <c r="G32" s="17"/>
      <c r="H32" s="17"/>
    </row>
    <row r="33">
      <c r="A33" s="17"/>
      <c r="B33" s="17"/>
      <c r="C33" s="17"/>
      <c r="D33" s="17"/>
      <c r="E33" s="17"/>
      <c r="F33" s="295"/>
      <c r="G33" s="17"/>
      <c r="H33" s="17"/>
    </row>
    <row r="34">
      <c r="A34" s="17"/>
      <c r="B34" s="17"/>
      <c r="C34" s="17"/>
      <c r="D34" s="17"/>
      <c r="E34" s="17"/>
      <c r="F34" s="295"/>
      <c r="G34" s="17"/>
      <c r="H34" s="17"/>
    </row>
    <row r="35">
      <c r="A35" s="17"/>
      <c r="B35" s="17"/>
      <c r="C35" s="17"/>
      <c r="D35" s="17"/>
      <c r="E35" s="17"/>
      <c r="F35" s="295"/>
      <c r="G35" s="17"/>
      <c r="H35" s="17"/>
    </row>
    <row r="36">
      <c r="A36" s="17"/>
      <c r="B36" s="17"/>
      <c r="C36" s="17"/>
      <c r="D36" s="17"/>
      <c r="E36" s="17"/>
      <c r="F36" s="295"/>
      <c r="G36" s="17"/>
      <c r="H36" s="17"/>
    </row>
    <row r="37">
      <c r="A37" s="17"/>
      <c r="B37" s="17"/>
      <c r="C37" s="17"/>
      <c r="D37" s="17"/>
      <c r="E37" s="17"/>
      <c r="F37" s="295"/>
      <c r="G37" s="17"/>
      <c r="H37" s="17"/>
    </row>
    <row r="38">
      <c r="A38" s="17"/>
      <c r="B38" s="17"/>
      <c r="C38" s="17"/>
      <c r="D38" s="17"/>
      <c r="E38" s="17"/>
      <c r="F38" s="295"/>
      <c r="G38" s="17"/>
      <c r="H38" s="17"/>
    </row>
    <row r="39">
      <c r="A39" s="17"/>
      <c r="B39" s="17"/>
      <c r="C39" s="17"/>
      <c r="D39" s="17"/>
      <c r="E39" s="17"/>
      <c r="F39" s="295"/>
      <c r="G39" s="17"/>
      <c r="H39" s="17"/>
    </row>
    <row r="40">
      <c r="A40" s="17"/>
      <c r="B40" s="17"/>
      <c r="C40" s="17"/>
      <c r="D40" s="17"/>
      <c r="E40" s="17"/>
      <c r="F40" s="295"/>
      <c r="G40" s="17"/>
      <c r="H40" s="17"/>
    </row>
    <row r="41">
      <c r="A41" s="17"/>
      <c r="B41" s="17"/>
      <c r="C41" s="17"/>
      <c r="D41" s="17"/>
      <c r="E41" s="17"/>
      <c r="F41" s="295"/>
      <c r="G41" s="17"/>
      <c r="H41" s="17"/>
    </row>
    <row r="42">
      <c r="A42" s="17"/>
      <c r="B42" s="17"/>
      <c r="C42" s="17"/>
      <c r="D42" s="17"/>
      <c r="E42" s="17"/>
      <c r="F42" s="295"/>
      <c r="G42" s="17"/>
      <c r="H42" s="17"/>
    </row>
    <row r="43">
      <c r="A43" s="17"/>
      <c r="B43" s="17"/>
      <c r="C43" s="17"/>
      <c r="D43" s="17"/>
      <c r="E43" s="17"/>
      <c r="F43" s="295"/>
      <c r="G43" s="17"/>
      <c r="H43" s="17"/>
    </row>
    <row r="44">
      <c r="A44" s="17"/>
      <c r="B44" s="17"/>
      <c r="C44" s="17"/>
      <c r="D44" s="17"/>
      <c r="E44" s="17"/>
      <c r="F44" s="295"/>
      <c r="G44" s="17"/>
      <c r="H44" s="17"/>
    </row>
    <row r="45">
      <c r="A45" s="17"/>
      <c r="B45" s="17"/>
      <c r="C45" s="17"/>
      <c r="D45" s="17"/>
      <c r="E45" s="17"/>
      <c r="F45" s="295"/>
      <c r="G45" s="17"/>
      <c r="H45" s="17"/>
    </row>
    <row r="46">
      <c r="A46" s="17"/>
      <c r="B46" s="17"/>
      <c r="C46" s="17"/>
      <c r="D46" s="17"/>
      <c r="E46" s="17"/>
      <c r="F46" s="295"/>
      <c r="G46" s="17"/>
      <c r="H46" s="17"/>
    </row>
    <row r="47">
      <c r="A47" s="17"/>
      <c r="B47" s="17"/>
      <c r="C47" s="17"/>
      <c r="D47" s="17"/>
      <c r="E47" s="17"/>
      <c r="F47" s="295"/>
      <c r="G47" s="17"/>
      <c r="H47" s="17"/>
    </row>
    <row r="48">
      <c r="A48" s="17"/>
      <c r="B48" s="17"/>
      <c r="C48" s="17"/>
      <c r="D48" s="17"/>
      <c r="E48" s="17"/>
      <c r="F48" s="295"/>
      <c r="G48" s="17"/>
      <c r="H48" s="17"/>
    </row>
    <row r="49">
      <c r="A49" s="17"/>
      <c r="B49" s="17"/>
      <c r="C49" s="17"/>
      <c r="D49" s="17"/>
      <c r="E49" s="17"/>
      <c r="F49" s="295"/>
      <c r="G49" s="17"/>
      <c r="H49" s="17"/>
    </row>
    <row r="50">
      <c r="A50" s="17"/>
      <c r="B50" s="17"/>
      <c r="C50" s="17"/>
      <c r="D50" s="17"/>
      <c r="E50" s="17"/>
      <c r="F50" s="295"/>
      <c r="G50" s="17"/>
      <c r="H50" s="17"/>
    </row>
    <row r="51">
      <c r="A51" s="17"/>
      <c r="B51" s="17"/>
      <c r="C51" s="17"/>
      <c r="D51" s="17"/>
      <c r="E51" s="17"/>
      <c r="F51" s="295"/>
      <c r="G51" s="17"/>
      <c r="H51" s="17"/>
    </row>
    <row r="52">
      <c r="A52" s="17"/>
      <c r="B52" s="17"/>
      <c r="C52" s="17"/>
      <c r="D52" s="17"/>
      <c r="E52" s="17"/>
      <c r="F52" s="295"/>
      <c r="G52" s="17"/>
      <c r="H52" s="17"/>
    </row>
    <row r="53">
      <c r="A53" s="17"/>
      <c r="B53" s="17"/>
      <c r="C53" s="17"/>
      <c r="D53" s="17"/>
      <c r="E53" s="17"/>
      <c r="F53" s="295"/>
      <c r="G53" s="17"/>
      <c r="H53" s="17"/>
    </row>
    <row r="54">
      <c r="A54" s="17"/>
      <c r="B54" s="17"/>
      <c r="C54" s="17"/>
      <c r="D54" s="17"/>
      <c r="E54" s="17"/>
      <c r="F54" s="295"/>
      <c r="G54" s="17"/>
      <c r="H54" s="17"/>
    </row>
    <row r="55">
      <c r="A55" s="17"/>
      <c r="B55" s="17"/>
      <c r="C55" s="17"/>
      <c r="D55" s="17"/>
      <c r="E55" s="17"/>
      <c r="F55" s="295"/>
      <c r="G55" s="17"/>
      <c r="H55" s="17"/>
    </row>
    <row r="56">
      <c r="A56" s="17"/>
      <c r="B56" s="17"/>
      <c r="C56" s="17"/>
      <c r="D56" s="17"/>
      <c r="E56" s="17"/>
      <c r="F56" s="295"/>
      <c r="G56" s="17"/>
      <c r="H56" s="17"/>
    </row>
    <row r="57">
      <c r="A57" s="17"/>
      <c r="B57" s="17"/>
      <c r="C57" s="17"/>
      <c r="D57" s="17"/>
      <c r="E57" s="17"/>
      <c r="F57" s="295"/>
      <c r="G57" s="17"/>
      <c r="H57" s="17"/>
    </row>
    <row r="58">
      <c r="A58" s="17"/>
      <c r="B58" s="17"/>
      <c r="C58" s="17"/>
      <c r="D58" s="17"/>
      <c r="E58" s="17"/>
      <c r="F58" s="295"/>
      <c r="G58" s="17"/>
      <c r="H58" s="17"/>
    </row>
    <row r="59">
      <c r="A59" s="17"/>
      <c r="B59" s="17"/>
      <c r="C59" s="17"/>
      <c r="D59" s="17"/>
      <c r="E59" s="17"/>
      <c r="F59" s="295"/>
      <c r="G59" s="17"/>
      <c r="H59" s="17"/>
    </row>
    <row r="60">
      <c r="A60" s="17"/>
      <c r="B60" s="17"/>
      <c r="C60" s="17"/>
      <c r="D60" s="17"/>
      <c r="E60" s="17"/>
      <c r="F60" s="295"/>
      <c r="G60" s="17"/>
      <c r="H60" s="17"/>
    </row>
    <row r="61">
      <c r="A61" s="17"/>
      <c r="B61" s="17"/>
      <c r="C61" s="17"/>
      <c r="D61" s="17"/>
      <c r="E61" s="17"/>
      <c r="F61" s="295"/>
      <c r="G61" s="17"/>
      <c r="H61" s="17"/>
    </row>
    <row r="62">
      <c r="A62" s="17"/>
      <c r="B62" s="17"/>
      <c r="C62" s="17"/>
      <c r="D62" s="17"/>
      <c r="E62" s="17"/>
      <c r="F62" s="295"/>
      <c r="G62" s="17"/>
      <c r="H62" s="17"/>
    </row>
    <row r="63">
      <c r="A63" s="17"/>
      <c r="B63" s="17"/>
      <c r="C63" s="17"/>
      <c r="D63" s="17"/>
      <c r="E63" s="17"/>
      <c r="F63" s="295"/>
      <c r="G63" s="17"/>
      <c r="H63" s="17"/>
    </row>
    <row r="64">
      <c r="A64" s="17"/>
      <c r="B64" s="17"/>
      <c r="C64" s="17"/>
      <c r="D64" s="17"/>
      <c r="E64" s="17"/>
      <c r="F64" s="295"/>
      <c r="G64" s="17"/>
      <c r="H64" s="17"/>
    </row>
    <row r="65">
      <c r="A65" s="17"/>
      <c r="B65" s="17"/>
      <c r="C65" s="17"/>
      <c r="D65" s="17"/>
      <c r="E65" s="17"/>
      <c r="F65" s="295"/>
      <c r="G65" s="17"/>
      <c r="H65" s="17"/>
    </row>
    <row r="66">
      <c r="A66" s="17"/>
      <c r="B66" s="17"/>
      <c r="C66" s="17"/>
      <c r="D66" s="17"/>
      <c r="E66" s="17"/>
      <c r="F66" s="295"/>
      <c r="G66" s="17"/>
      <c r="H66" s="17"/>
    </row>
    <row r="67">
      <c r="A67" s="17"/>
      <c r="B67" s="17"/>
      <c r="C67" s="17"/>
      <c r="D67" s="17"/>
      <c r="E67" s="17"/>
      <c r="F67" s="295"/>
      <c r="G67" s="17"/>
      <c r="H67" s="17"/>
    </row>
    <row r="68">
      <c r="A68" s="17"/>
      <c r="B68" s="17"/>
      <c r="C68" s="17"/>
      <c r="D68" s="17"/>
      <c r="E68" s="17"/>
      <c r="F68" s="295"/>
      <c r="G68" s="17"/>
      <c r="H68" s="17"/>
    </row>
    <row r="69">
      <c r="A69" s="17"/>
      <c r="B69" s="17"/>
      <c r="C69" s="17"/>
      <c r="D69" s="17"/>
      <c r="E69" s="17"/>
      <c r="F69" s="295"/>
      <c r="G69" s="17"/>
      <c r="H69" s="17"/>
    </row>
    <row r="70">
      <c r="A70" s="17"/>
      <c r="B70" s="17"/>
      <c r="C70" s="17"/>
      <c r="D70" s="17"/>
      <c r="E70" s="17"/>
      <c r="F70" s="295"/>
      <c r="G70" s="17"/>
      <c r="H70" s="17"/>
    </row>
    <row r="71">
      <c r="A71" s="17"/>
      <c r="B71" s="17"/>
      <c r="C71" s="17"/>
      <c r="D71" s="17"/>
      <c r="E71" s="17"/>
      <c r="F71" s="295"/>
      <c r="G71" s="17"/>
      <c r="H71" s="17"/>
    </row>
    <row r="72">
      <c r="A72" s="17"/>
      <c r="B72" s="17"/>
      <c r="C72" s="17"/>
      <c r="D72" s="17"/>
      <c r="E72" s="17"/>
      <c r="F72" s="295"/>
      <c r="G72" s="17"/>
      <c r="H72" s="17"/>
    </row>
    <row r="73">
      <c r="A73" s="17"/>
      <c r="B73" s="17"/>
      <c r="C73" s="17"/>
      <c r="D73" s="17"/>
      <c r="E73" s="17"/>
      <c r="F73" s="295"/>
      <c r="G73" s="17"/>
      <c r="H73" s="17"/>
    </row>
    <row r="74">
      <c r="A74" s="17"/>
      <c r="B74" s="17"/>
      <c r="C74" s="17"/>
      <c r="D74" s="17"/>
      <c r="E74" s="17"/>
      <c r="F74" s="295"/>
      <c r="G74" s="17"/>
      <c r="H74" s="17"/>
    </row>
    <row r="75">
      <c r="A75" s="17"/>
      <c r="B75" s="17"/>
      <c r="C75" s="17"/>
      <c r="D75" s="17"/>
      <c r="E75" s="17"/>
      <c r="F75" s="295"/>
      <c r="G75" s="17"/>
      <c r="H75" s="17"/>
    </row>
    <row r="76">
      <c r="A76" s="17"/>
      <c r="B76" s="17"/>
      <c r="C76" s="17"/>
      <c r="D76" s="17"/>
      <c r="E76" s="17"/>
      <c r="F76" s="295"/>
      <c r="G76" s="17"/>
      <c r="H76" s="17"/>
    </row>
    <row r="77">
      <c r="A77" s="17"/>
      <c r="B77" s="17"/>
      <c r="C77" s="17"/>
      <c r="D77" s="17"/>
      <c r="E77" s="17"/>
      <c r="F77" s="295"/>
      <c r="G77" s="17"/>
      <c r="H77" s="17"/>
    </row>
    <row r="78">
      <c r="A78" s="17"/>
      <c r="B78" s="17"/>
      <c r="C78" s="17"/>
      <c r="D78" s="17"/>
      <c r="E78" s="17"/>
      <c r="F78" s="295"/>
      <c r="G78" s="17"/>
      <c r="H78" s="17"/>
    </row>
    <row r="79">
      <c r="A79" s="17"/>
      <c r="B79" s="17"/>
      <c r="C79" s="17"/>
      <c r="D79" s="17"/>
      <c r="E79" s="17"/>
      <c r="F79" s="295"/>
      <c r="G79" s="17"/>
      <c r="H79" s="17"/>
    </row>
    <row r="80">
      <c r="A80" s="17"/>
      <c r="B80" s="17"/>
      <c r="C80" s="17"/>
      <c r="D80" s="17"/>
      <c r="E80" s="17"/>
      <c r="F80" s="295"/>
      <c r="G80" s="17"/>
      <c r="H80" s="17"/>
    </row>
    <row r="81">
      <c r="A81" s="17"/>
      <c r="B81" s="17"/>
      <c r="C81" s="17"/>
      <c r="D81" s="17"/>
      <c r="E81" s="17"/>
      <c r="F81" s="295"/>
      <c r="G81" s="17"/>
      <c r="H81" s="17"/>
    </row>
    <row r="82">
      <c r="A82" s="17"/>
      <c r="B82" s="17"/>
      <c r="C82" s="17"/>
      <c r="D82" s="17"/>
      <c r="E82" s="17"/>
      <c r="F82" s="295"/>
      <c r="G82" s="17"/>
      <c r="H82" s="17"/>
    </row>
    <row r="83">
      <c r="A83" s="17"/>
      <c r="B83" s="17"/>
      <c r="C83" s="17"/>
      <c r="D83" s="17"/>
      <c r="E83" s="17"/>
      <c r="F83" s="295"/>
      <c r="G83" s="17"/>
      <c r="H83" s="17"/>
    </row>
    <row r="84">
      <c r="A84" s="17"/>
      <c r="B84" s="17"/>
      <c r="C84" s="17"/>
      <c r="D84" s="17"/>
      <c r="E84" s="17"/>
      <c r="F84" s="295"/>
      <c r="G84" s="17"/>
      <c r="H84" s="17"/>
    </row>
    <row r="85">
      <c r="A85" s="17"/>
      <c r="B85" s="17"/>
      <c r="C85" s="17"/>
      <c r="D85" s="17"/>
      <c r="E85" s="17"/>
      <c r="F85" s="295"/>
      <c r="G85" s="17"/>
      <c r="H85" s="17"/>
    </row>
    <row r="86">
      <c r="A86" s="17"/>
      <c r="B86" s="17"/>
      <c r="C86" s="17"/>
      <c r="D86" s="17"/>
      <c r="E86" s="17"/>
      <c r="F86" s="295"/>
      <c r="G86" s="17"/>
      <c r="H86" s="17"/>
    </row>
    <row r="87">
      <c r="A87" s="17"/>
      <c r="B87" s="17"/>
      <c r="C87" s="17"/>
      <c r="D87" s="17"/>
      <c r="E87" s="17"/>
      <c r="F87" s="295"/>
      <c r="G87" s="17"/>
      <c r="H87" s="17"/>
    </row>
    <row r="88">
      <c r="A88" s="17"/>
      <c r="B88" s="17"/>
      <c r="C88" s="17"/>
      <c r="D88" s="17"/>
      <c r="E88" s="17"/>
      <c r="F88" s="295"/>
      <c r="G88" s="17"/>
      <c r="H88" s="17"/>
    </row>
    <row r="89">
      <c r="A89" s="17"/>
      <c r="B89" s="17"/>
      <c r="C89" s="17"/>
      <c r="D89" s="17"/>
      <c r="E89" s="17"/>
      <c r="F89" s="295"/>
      <c r="G89" s="17"/>
      <c r="H89" s="17"/>
    </row>
    <row r="90">
      <c r="A90" s="17"/>
      <c r="B90" s="17"/>
      <c r="C90" s="17"/>
      <c r="D90" s="17"/>
      <c r="E90" s="17"/>
      <c r="F90" s="295"/>
      <c r="G90" s="17"/>
      <c r="H90" s="17"/>
    </row>
    <row r="91">
      <c r="A91" s="17"/>
      <c r="B91" s="17"/>
      <c r="C91" s="17"/>
      <c r="D91" s="17"/>
      <c r="E91" s="17"/>
      <c r="F91" s="295"/>
      <c r="G91" s="17"/>
      <c r="H91" s="17"/>
    </row>
    <row r="92">
      <c r="A92" s="17"/>
      <c r="B92" s="17"/>
      <c r="C92" s="17"/>
      <c r="D92" s="17"/>
      <c r="E92" s="17"/>
      <c r="F92" s="295"/>
      <c r="G92" s="17"/>
      <c r="H92" s="17"/>
    </row>
    <row r="93">
      <c r="A93" s="17"/>
      <c r="B93" s="17"/>
      <c r="C93" s="17"/>
      <c r="D93" s="17"/>
      <c r="E93" s="17"/>
      <c r="F93" s="295"/>
      <c r="G93" s="17"/>
      <c r="H93" s="17"/>
    </row>
    <row r="94">
      <c r="A94" s="17"/>
      <c r="B94" s="17"/>
      <c r="C94" s="17"/>
      <c r="D94" s="17"/>
      <c r="E94" s="17"/>
      <c r="F94" s="295"/>
      <c r="G94" s="17"/>
      <c r="H94" s="17"/>
    </row>
    <row r="95">
      <c r="A95" s="17"/>
      <c r="B95" s="17"/>
      <c r="C95" s="17"/>
      <c r="D95" s="17"/>
      <c r="E95" s="17"/>
      <c r="F95" s="295"/>
      <c r="G95" s="17"/>
      <c r="H95" s="17"/>
    </row>
    <row r="96">
      <c r="A96" s="17"/>
      <c r="B96" s="17"/>
      <c r="C96" s="17"/>
      <c r="D96" s="17"/>
      <c r="E96" s="17"/>
      <c r="F96" s="295"/>
      <c r="G96" s="17"/>
      <c r="H96" s="17"/>
    </row>
    <row r="97">
      <c r="A97" s="17"/>
      <c r="B97" s="17"/>
      <c r="C97" s="17"/>
      <c r="D97" s="17"/>
      <c r="E97" s="17"/>
      <c r="F97" s="295"/>
      <c r="G97" s="17"/>
      <c r="H97" s="17"/>
    </row>
    <row r="98">
      <c r="A98" s="17"/>
      <c r="B98" s="17"/>
      <c r="C98" s="17"/>
      <c r="D98" s="17"/>
      <c r="E98" s="17"/>
      <c r="F98" s="295"/>
      <c r="G98" s="17"/>
      <c r="H98" s="17"/>
    </row>
    <row r="99">
      <c r="A99" s="17"/>
      <c r="B99" s="17"/>
      <c r="C99" s="17"/>
      <c r="D99" s="17"/>
      <c r="E99" s="17"/>
      <c r="F99" s="295"/>
      <c r="G99" s="17"/>
      <c r="H99" s="17"/>
    </row>
    <row r="100">
      <c r="A100" s="17"/>
      <c r="B100" s="17"/>
      <c r="C100" s="17"/>
      <c r="D100" s="17"/>
      <c r="E100" s="17"/>
      <c r="F100" s="295"/>
      <c r="G100" s="17"/>
      <c r="H100" s="17"/>
    </row>
    <row r="101">
      <c r="A101" s="17"/>
      <c r="B101" s="17"/>
      <c r="C101" s="17"/>
      <c r="D101" s="17"/>
      <c r="E101" s="17"/>
      <c r="F101" s="295"/>
      <c r="G101" s="17"/>
      <c r="H101" s="17"/>
    </row>
    <row r="102">
      <c r="A102" s="17"/>
      <c r="B102" s="17"/>
      <c r="C102" s="17"/>
      <c r="D102" s="17"/>
      <c r="E102" s="17"/>
      <c r="F102" s="295"/>
      <c r="G102" s="17"/>
      <c r="H102" s="17"/>
    </row>
    <row r="103">
      <c r="A103" s="17"/>
      <c r="B103" s="17"/>
      <c r="C103" s="17"/>
      <c r="D103" s="17"/>
      <c r="E103" s="17"/>
      <c r="F103" s="295"/>
      <c r="G103" s="17"/>
      <c r="H103" s="17"/>
    </row>
    <row r="104">
      <c r="A104" s="17"/>
      <c r="B104" s="17"/>
      <c r="C104" s="17"/>
      <c r="D104" s="17"/>
      <c r="E104" s="17"/>
      <c r="F104" s="295"/>
      <c r="G104" s="17"/>
      <c r="H104" s="17"/>
    </row>
    <row r="105">
      <c r="A105" s="17"/>
      <c r="B105" s="17"/>
      <c r="C105" s="17"/>
      <c r="D105" s="17"/>
      <c r="E105" s="17"/>
      <c r="F105" s="295"/>
      <c r="G105" s="17"/>
      <c r="H105" s="17"/>
    </row>
    <row r="106">
      <c r="A106" s="17"/>
      <c r="B106" s="17"/>
      <c r="C106" s="17"/>
      <c r="D106" s="17"/>
      <c r="E106" s="17"/>
      <c r="F106" s="295"/>
      <c r="G106" s="17"/>
      <c r="H106" s="17"/>
    </row>
    <row r="107">
      <c r="A107" s="17"/>
      <c r="B107" s="17"/>
      <c r="C107" s="17"/>
      <c r="D107" s="17"/>
      <c r="E107" s="17"/>
      <c r="F107" s="295"/>
      <c r="G107" s="17"/>
      <c r="H107" s="17"/>
    </row>
    <row r="108">
      <c r="A108" s="17"/>
      <c r="B108" s="17"/>
      <c r="C108" s="17"/>
      <c r="D108" s="17"/>
      <c r="E108" s="17"/>
      <c r="F108" s="295"/>
      <c r="G108" s="17"/>
      <c r="H108" s="17"/>
    </row>
    <row r="109">
      <c r="A109" s="17"/>
      <c r="B109" s="17"/>
      <c r="C109" s="17"/>
      <c r="D109" s="17"/>
      <c r="E109" s="17"/>
      <c r="F109" s="295"/>
      <c r="G109" s="17"/>
      <c r="H109" s="17"/>
    </row>
    <row r="110">
      <c r="A110" s="17"/>
      <c r="B110" s="17"/>
      <c r="C110" s="17"/>
      <c r="D110" s="17"/>
      <c r="E110" s="17"/>
      <c r="F110" s="295"/>
      <c r="G110" s="17"/>
      <c r="H110" s="17"/>
    </row>
    <row r="111">
      <c r="A111" s="17"/>
      <c r="B111" s="17"/>
      <c r="C111" s="17"/>
      <c r="D111" s="17"/>
      <c r="E111" s="17"/>
      <c r="F111" s="295"/>
      <c r="G111" s="17"/>
      <c r="H111" s="17"/>
    </row>
    <row r="112">
      <c r="A112" s="17"/>
      <c r="B112" s="17"/>
      <c r="C112" s="17"/>
      <c r="D112" s="17"/>
      <c r="E112" s="17"/>
      <c r="F112" s="295"/>
      <c r="G112" s="17"/>
      <c r="H112" s="17"/>
    </row>
    <row r="113">
      <c r="A113" s="17"/>
      <c r="B113" s="17"/>
      <c r="C113" s="17"/>
      <c r="D113" s="17"/>
      <c r="E113" s="17"/>
      <c r="F113" s="295"/>
      <c r="G113" s="17"/>
      <c r="H113" s="17"/>
    </row>
    <row r="114">
      <c r="A114" s="17"/>
      <c r="B114" s="17"/>
      <c r="C114" s="17"/>
      <c r="D114" s="17"/>
      <c r="E114" s="17"/>
      <c r="F114" s="295"/>
      <c r="G114" s="17"/>
      <c r="H114" s="17"/>
    </row>
    <row r="115">
      <c r="A115" s="17"/>
      <c r="B115" s="17"/>
      <c r="C115" s="17"/>
      <c r="D115" s="17"/>
      <c r="E115" s="17"/>
      <c r="F115" s="295"/>
      <c r="G115" s="17"/>
      <c r="H115" s="17"/>
    </row>
    <row r="116">
      <c r="A116" s="17"/>
      <c r="B116" s="17"/>
      <c r="C116" s="17"/>
      <c r="D116" s="17"/>
      <c r="E116" s="17"/>
      <c r="F116" s="295"/>
      <c r="G116" s="17"/>
      <c r="H116" s="17"/>
    </row>
    <row r="117">
      <c r="A117" s="17"/>
      <c r="B117" s="17"/>
      <c r="C117" s="17"/>
      <c r="D117" s="17"/>
      <c r="E117" s="17"/>
      <c r="F117" s="295"/>
      <c r="G117" s="17"/>
      <c r="H117" s="17"/>
    </row>
    <row r="118">
      <c r="A118" s="17"/>
      <c r="B118" s="17"/>
      <c r="C118" s="17"/>
      <c r="D118" s="17"/>
      <c r="E118" s="17"/>
      <c r="F118" s="295"/>
      <c r="G118" s="17"/>
      <c r="H118" s="17"/>
    </row>
    <row r="119">
      <c r="A119" s="17"/>
      <c r="B119" s="17"/>
      <c r="C119" s="17"/>
      <c r="D119" s="17"/>
      <c r="E119" s="17"/>
      <c r="F119" s="295"/>
      <c r="G119" s="17"/>
      <c r="H119" s="17"/>
    </row>
    <row r="120">
      <c r="A120" s="17"/>
      <c r="B120" s="17"/>
      <c r="C120" s="17"/>
      <c r="D120" s="17"/>
      <c r="E120" s="17"/>
      <c r="F120" s="295"/>
      <c r="G120" s="17"/>
      <c r="H120" s="17"/>
    </row>
    <row r="121">
      <c r="A121" s="17"/>
      <c r="B121" s="17"/>
      <c r="C121" s="17"/>
      <c r="D121" s="17"/>
      <c r="E121" s="17"/>
      <c r="F121" s="295"/>
      <c r="G121" s="17"/>
      <c r="H121" s="17"/>
    </row>
    <row r="122">
      <c r="A122" s="17"/>
      <c r="B122" s="17"/>
      <c r="C122" s="17"/>
      <c r="D122" s="17"/>
      <c r="E122" s="17"/>
      <c r="F122" s="295"/>
      <c r="G122" s="17"/>
      <c r="H122" s="17"/>
    </row>
    <row r="123">
      <c r="A123" s="17"/>
      <c r="B123" s="17"/>
      <c r="C123" s="17"/>
      <c r="D123" s="17"/>
      <c r="E123" s="17"/>
      <c r="F123" s="295"/>
      <c r="G123" s="17"/>
      <c r="H123" s="17"/>
    </row>
    <row r="124">
      <c r="A124" s="17"/>
      <c r="B124" s="17"/>
      <c r="C124" s="17"/>
      <c r="D124" s="17"/>
      <c r="E124" s="17"/>
      <c r="F124" s="295"/>
      <c r="G124" s="17"/>
      <c r="H124" s="17"/>
    </row>
    <row r="125">
      <c r="A125" s="17"/>
      <c r="B125" s="17"/>
      <c r="C125" s="17"/>
      <c r="D125" s="17"/>
      <c r="E125" s="17"/>
      <c r="F125" s="295"/>
      <c r="G125" s="17"/>
      <c r="H125" s="17"/>
    </row>
    <row r="126">
      <c r="A126" s="17"/>
      <c r="B126" s="17"/>
      <c r="C126" s="17"/>
      <c r="D126" s="17"/>
      <c r="E126" s="17"/>
      <c r="F126" s="295"/>
      <c r="G126" s="17"/>
      <c r="H126" s="17"/>
    </row>
    <row r="127">
      <c r="A127" s="17"/>
      <c r="B127" s="17"/>
      <c r="C127" s="17"/>
      <c r="D127" s="17"/>
      <c r="E127" s="17"/>
      <c r="F127" s="295"/>
      <c r="G127" s="17"/>
      <c r="H127" s="17"/>
    </row>
    <row r="128">
      <c r="A128" s="17"/>
      <c r="B128" s="17"/>
      <c r="C128" s="17"/>
      <c r="D128" s="17"/>
      <c r="E128" s="17"/>
      <c r="F128" s="295"/>
      <c r="G128" s="17"/>
      <c r="H128" s="17"/>
    </row>
    <row r="129">
      <c r="A129" s="17"/>
      <c r="B129" s="17"/>
      <c r="C129" s="17"/>
      <c r="D129" s="17"/>
      <c r="E129" s="17"/>
      <c r="F129" s="295"/>
      <c r="G129" s="17"/>
      <c r="H129" s="17"/>
    </row>
    <row r="130">
      <c r="A130" s="17"/>
      <c r="B130" s="17"/>
      <c r="C130" s="17"/>
      <c r="D130" s="17"/>
      <c r="E130" s="17"/>
      <c r="F130" s="295"/>
      <c r="G130" s="17"/>
      <c r="H130" s="17"/>
    </row>
    <row r="131">
      <c r="A131" s="17"/>
      <c r="B131" s="17"/>
      <c r="C131" s="17"/>
      <c r="D131" s="17"/>
      <c r="E131" s="17"/>
      <c r="F131" s="295"/>
      <c r="G131" s="17"/>
      <c r="H131" s="17"/>
    </row>
    <row r="132">
      <c r="A132" s="17"/>
      <c r="B132" s="17"/>
      <c r="C132" s="17"/>
      <c r="D132" s="17"/>
      <c r="E132" s="17"/>
      <c r="F132" s="295"/>
      <c r="G132" s="17"/>
      <c r="H132" s="17"/>
    </row>
    <row r="133">
      <c r="A133" s="17"/>
      <c r="B133" s="17"/>
      <c r="C133" s="17"/>
      <c r="D133" s="17"/>
      <c r="E133" s="17"/>
      <c r="F133" s="295"/>
      <c r="G133" s="17"/>
      <c r="H133" s="17"/>
    </row>
    <row r="134">
      <c r="A134" s="17"/>
      <c r="B134" s="17"/>
      <c r="C134" s="17"/>
      <c r="D134" s="17"/>
      <c r="E134" s="17"/>
      <c r="F134" s="295"/>
      <c r="G134" s="17"/>
      <c r="H134" s="17"/>
    </row>
    <row r="135">
      <c r="A135" s="17"/>
      <c r="B135" s="17"/>
      <c r="C135" s="17"/>
      <c r="D135" s="17"/>
      <c r="E135" s="17"/>
      <c r="F135" s="295"/>
      <c r="G135" s="17"/>
      <c r="H135" s="17"/>
    </row>
    <row r="136">
      <c r="A136" s="17"/>
      <c r="B136" s="17"/>
      <c r="C136" s="17"/>
      <c r="D136" s="17"/>
      <c r="E136" s="17"/>
      <c r="F136" s="295"/>
      <c r="G136" s="17"/>
      <c r="H136" s="17"/>
    </row>
    <row r="137">
      <c r="A137" s="17"/>
      <c r="B137" s="17"/>
      <c r="C137" s="17"/>
      <c r="D137" s="17"/>
      <c r="E137" s="17"/>
      <c r="F137" s="295"/>
      <c r="G137" s="17"/>
      <c r="H137" s="17"/>
    </row>
    <row r="138">
      <c r="A138" s="17"/>
      <c r="B138" s="17"/>
      <c r="C138" s="17"/>
      <c r="D138" s="17"/>
      <c r="E138" s="17"/>
      <c r="F138" s="295"/>
      <c r="G138" s="17"/>
      <c r="H138" s="17"/>
    </row>
    <row r="139">
      <c r="A139" s="17"/>
      <c r="B139" s="17"/>
      <c r="C139" s="17"/>
      <c r="D139" s="17"/>
      <c r="E139" s="17"/>
      <c r="F139" s="295"/>
      <c r="G139" s="17"/>
      <c r="H139" s="17"/>
    </row>
    <row r="140">
      <c r="A140" s="17"/>
      <c r="B140" s="17"/>
      <c r="C140" s="17"/>
      <c r="D140" s="17"/>
      <c r="E140" s="17"/>
      <c r="F140" s="295"/>
      <c r="G140" s="17"/>
      <c r="H140" s="17"/>
    </row>
    <row r="141">
      <c r="A141" s="17"/>
      <c r="B141" s="17"/>
      <c r="C141" s="17"/>
      <c r="D141" s="17"/>
      <c r="E141" s="17"/>
      <c r="F141" s="295"/>
      <c r="G141" s="17"/>
      <c r="H141" s="17"/>
    </row>
    <row r="142">
      <c r="A142" s="17"/>
      <c r="B142" s="17"/>
      <c r="C142" s="17"/>
      <c r="D142" s="17"/>
      <c r="E142" s="17"/>
      <c r="F142" s="295"/>
      <c r="G142" s="17"/>
      <c r="H142" s="17"/>
    </row>
    <row r="143">
      <c r="A143" s="17"/>
      <c r="B143" s="17"/>
      <c r="C143" s="17"/>
      <c r="D143" s="17"/>
      <c r="E143" s="17"/>
      <c r="F143" s="295"/>
      <c r="G143" s="17"/>
      <c r="H143" s="17"/>
    </row>
    <row r="144">
      <c r="A144" s="17"/>
      <c r="B144" s="17"/>
      <c r="C144" s="17"/>
      <c r="D144" s="17"/>
      <c r="E144" s="17"/>
      <c r="F144" s="295"/>
      <c r="G144" s="17"/>
      <c r="H144" s="17"/>
    </row>
    <row r="145">
      <c r="A145" s="17"/>
      <c r="B145" s="17"/>
      <c r="C145" s="17"/>
      <c r="D145" s="17"/>
      <c r="E145" s="17"/>
      <c r="F145" s="295"/>
      <c r="G145" s="17"/>
      <c r="H145" s="17"/>
    </row>
    <row r="146">
      <c r="A146" s="17"/>
      <c r="B146" s="17"/>
      <c r="C146" s="17"/>
      <c r="D146" s="17"/>
      <c r="E146" s="17"/>
      <c r="F146" s="295"/>
      <c r="G146" s="17"/>
      <c r="H146" s="17"/>
    </row>
    <row r="147">
      <c r="A147" s="17"/>
      <c r="B147" s="17"/>
      <c r="C147" s="17"/>
      <c r="D147" s="17"/>
      <c r="E147" s="17"/>
      <c r="F147" s="295"/>
      <c r="G147" s="17"/>
      <c r="H147" s="17"/>
    </row>
    <row r="148">
      <c r="A148" s="17"/>
      <c r="B148" s="17"/>
      <c r="C148" s="17"/>
      <c r="D148" s="17"/>
      <c r="E148" s="17"/>
      <c r="F148" s="295"/>
      <c r="G148" s="17"/>
      <c r="H148" s="17"/>
    </row>
    <row r="149">
      <c r="A149" s="17"/>
      <c r="B149" s="17"/>
      <c r="C149" s="17"/>
      <c r="D149" s="17"/>
      <c r="E149" s="17"/>
      <c r="F149" s="295"/>
      <c r="G149" s="17"/>
      <c r="H149" s="17"/>
    </row>
    <row r="150">
      <c r="A150" s="17"/>
      <c r="B150" s="17"/>
      <c r="C150" s="17"/>
      <c r="D150" s="17"/>
      <c r="E150" s="17"/>
      <c r="F150" s="295"/>
      <c r="G150" s="17"/>
      <c r="H150" s="17"/>
    </row>
    <row r="151">
      <c r="A151" s="17"/>
      <c r="B151" s="17"/>
      <c r="C151" s="17"/>
      <c r="D151" s="17"/>
      <c r="E151" s="17"/>
      <c r="F151" s="295"/>
      <c r="G151" s="17"/>
      <c r="H151" s="17"/>
    </row>
    <row r="152">
      <c r="A152" s="17"/>
      <c r="B152" s="17"/>
      <c r="C152" s="17"/>
      <c r="D152" s="17"/>
      <c r="E152" s="17"/>
      <c r="F152" s="295"/>
      <c r="G152" s="17"/>
      <c r="H152" s="17"/>
    </row>
    <row r="153">
      <c r="A153" s="17"/>
      <c r="B153" s="17"/>
      <c r="C153" s="17"/>
      <c r="D153" s="17"/>
      <c r="E153" s="17"/>
      <c r="F153" s="295"/>
      <c r="G153" s="17"/>
      <c r="H153" s="17"/>
    </row>
    <row r="154">
      <c r="A154" s="17"/>
      <c r="B154" s="17"/>
      <c r="C154" s="17"/>
      <c r="D154" s="17"/>
      <c r="E154" s="17"/>
      <c r="F154" s="295"/>
      <c r="G154" s="17"/>
      <c r="H154" s="17"/>
    </row>
    <row r="155">
      <c r="A155" s="17"/>
      <c r="B155" s="17"/>
      <c r="C155" s="17"/>
      <c r="D155" s="17"/>
      <c r="E155" s="17"/>
      <c r="F155" s="295"/>
      <c r="G155" s="17"/>
      <c r="H155" s="17"/>
    </row>
    <row r="156">
      <c r="A156" s="17"/>
      <c r="B156" s="17"/>
      <c r="C156" s="17"/>
      <c r="D156" s="17"/>
      <c r="E156" s="17"/>
      <c r="F156" s="295"/>
      <c r="G156" s="17"/>
      <c r="H156" s="17"/>
    </row>
    <row r="157">
      <c r="A157" s="17"/>
      <c r="B157" s="17"/>
      <c r="C157" s="17"/>
      <c r="D157" s="17"/>
      <c r="E157" s="17"/>
      <c r="F157" s="295"/>
      <c r="G157" s="17"/>
      <c r="H157" s="17"/>
    </row>
    <row r="158">
      <c r="A158" s="17"/>
      <c r="B158" s="17"/>
      <c r="C158" s="17"/>
      <c r="D158" s="17"/>
      <c r="E158" s="17"/>
      <c r="F158" s="295"/>
      <c r="G158" s="17"/>
      <c r="H158" s="17"/>
    </row>
    <row r="159">
      <c r="A159" s="17"/>
      <c r="B159" s="17"/>
      <c r="C159" s="17"/>
      <c r="D159" s="17"/>
      <c r="E159" s="17"/>
      <c r="F159" s="295"/>
      <c r="G159" s="17"/>
      <c r="H159" s="17"/>
    </row>
    <row r="160">
      <c r="A160" s="17"/>
      <c r="B160" s="17"/>
      <c r="C160" s="17"/>
      <c r="D160" s="17"/>
      <c r="E160" s="17"/>
      <c r="F160" s="295"/>
      <c r="G160" s="17"/>
      <c r="H160" s="17"/>
    </row>
    <row r="161">
      <c r="A161" s="17"/>
      <c r="B161" s="17"/>
      <c r="C161" s="17"/>
      <c r="D161" s="17"/>
      <c r="E161" s="17"/>
      <c r="F161" s="295"/>
      <c r="G161" s="17"/>
      <c r="H161" s="17"/>
    </row>
    <row r="162">
      <c r="A162" s="17"/>
      <c r="B162" s="17"/>
      <c r="C162" s="17"/>
      <c r="D162" s="17"/>
      <c r="E162" s="17"/>
      <c r="F162" s="295"/>
      <c r="G162" s="17"/>
      <c r="H162" s="17"/>
    </row>
    <row r="163">
      <c r="A163" s="17"/>
      <c r="B163" s="17"/>
      <c r="C163" s="17"/>
      <c r="D163" s="17"/>
      <c r="E163" s="17"/>
      <c r="F163" s="295"/>
      <c r="G163" s="17"/>
      <c r="H163" s="17"/>
    </row>
    <row r="164">
      <c r="A164" s="17"/>
      <c r="B164" s="17"/>
      <c r="C164" s="17"/>
      <c r="D164" s="17"/>
      <c r="E164" s="17"/>
      <c r="F164" s="295"/>
      <c r="G164" s="17"/>
      <c r="H164" s="17"/>
    </row>
    <row r="165">
      <c r="A165" s="17"/>
      <c r="B165" s="17"/>
      <c r="C165" s="17"/>
      <c r="D165" s="17"/>
      <c r="E165" s="17"/>
      <c r="F165" s="295"/>
      <c r="G165" s="17"/>
      <c r="H165" s="17"/>
    </row>
    <row r="166">
      <c r="A166" s="17"/>
      <c r="B166" s="17"/>
      <c r="C166" s="17"/>
      <c r="D166" s="17"/>
      <c r="E166" s="17"/>
      <c r="F166" s="295"/>
      <c r="G166" s="17"/>
      <c r="H166" s="17"/>
    </row>
    <row r="167">
      <c r="A167" s="17"/>
      <c r="B167" s="17"/>
      <c r="C167" s="17"/>
      <c r="D167" s="17"/>
      <c r="E167" s="17"/>
      <c r="F167" s="295"/>
      <c r="G167" s="17"/>
      <c r="H167" s="17"/>
    </row>
    <row r="168">
      <c r="A168" s="17"/>
      <c r="B168" s="17"/>
      <c r="C168" s="17"/>
      <c r="D168" s="17"/>
      <c r="E168" s="17"/>
      <c r="F168" s="295"/>
      <c r="G168" s="17"/>
      <c r="H168" s="17"/>
    </row>
    <row r="169">
      <c r="A169" s="17"/>
      <c r="B169" s="17"/>
      <c r="C169" s="17"/>
      <c r="D169" s="17"/>
      <c r="E169" s="17"/>
      <c r="F169" s="295"/>
      <c r="G169" s="17"/>
      <c r="H169" s="17"/>
    </row>
    <row r="170">
      <c r="A170" s="17"/>
      <c r="B170" s="17"/>
      <c r="C170" s="17"/>
      <c r="D170" s="17"/>
      <c r="E170" s="17"/>
      <c r="F170" s="295"/>
      <c r="G170" s="17"/>
      <c r="H170" s="17"/>
    </row>
    <row r="171">
      <c r="A171" s="17"/>
      <c r="B171" s="17"/>
      <c r="C171" s="17"/>
      <c r="D171" s="17"/>
      <c r="E171" s="17"/>
      <c r="F171" s="295"/>
      <c r="G171" s="17"/>
      <c r="H171" s="17"/>
    </row>
    <row r="172">
      <c r="A172" s="17"/>
      <c r="B172" s="17"/>
      <c r="C172" s="17"/>
      <c r="D172" s="17"/>
      <c r="E172" s="17"/>
      <c r="F172" s="295"/>
      <c r="G172" s="17"/>
      <c r="H172" s="17"/>
    </row>
    <row r="173">
      <c r="A173" s="17"/>
      <c r="B173" s="17"/>
      <c r="C173" s="17"/>
      <c r="D173" s="17"/>
      <c r="E173" s="17"/>
      <c r="F173" s="295"/>
      <c r="G173" s="17"/>
      <c r="H173" s="17"/>
    </row>
    <row r="174">
      <c r="A174" s="17"/>
      <c r="B174" s="17"/>
      <c r="C174" s="17"/>
      <c r="D174" s="17"/>
      <c r="E174" s="17"/>
      <c r="F174" s="295"/>
      <c r="G174" s="17"/>
      <c r="H174" s="17"/>
    </row>
    <row r="175">
      <c r="A175" s="17"/>
      <c r="B175" s="17"/>
      <c r="C175" s="17"/>
      <c r="D175" s="17"/>
      <c r="E175" s="17"/>
      <c r="F175" s="295"/>
      <c r="G175" s="17"/>
      <c r="H175" s="17"/>
    </row>
    <row r="176">
      <c r="A176" s="17"/>
      <c r="B176" s="17"/>
      <c r="C176" s="17"/>
      <c r="D176" s="17"/>
      <c r="E176" s="17"/>
      <c r="F176" s="295"/>
      <c r="G176" s="17"/>
      <c r="H176" s="17"/>
    </row>
    <row r="177">
      <c r="A177" s="17"/>
      <c r="B177" s="17"/>
      <c r="C177" s="17"/>
      <c r="D177" s="17"/>
      <c r="E177" s="17"/>
      <c r="F177" s="295"/>
      <c r="G177" s="17"/>
      <c r="H177" s="17"/>
    </row>
    <row r="178">
      <c r="A178" s="17"/>
      <c r="B178" s="17"/>
      <c r="C178" s="17"/>
      <c r="D178" s="17"/>
      <c r="E178" s="17"/>
      <c r="F178" s="295"/>
      <c r="G178" s="17"/>
      <c r="H178" s="17"/>
    </row>
    <row r="179">
      <c r="A179" s="17"/>
      <c r="B179" s="17"/>
      <c r="C179" s="17"/>
      <c r="D179" s="17"/>
      <c r="E179" s="17"/>
      <c r="F179" s="295"/>
      <c r="G179" s="17"/>
      <c r="H179" s="17"/>
    </row>
    <row r="180">
      <c r="A180" s="17"/>
      <c r="B180" s="17"/>
      <c r="C180" s="17"/>
      <c r="D180" s="17"/>
      <c r="E180" s="17"/>
      <c r="F180" s="295"/>
      <c r="G180" s="17"/>
      <c r="H180" s="17"/>
    </row>
    <row r="181">
      <c r="A181" s="17"/>
      <c r="B181" s="17"/>
      <c r="C181" s="17"/>
      <c r="D181" s="17"/>
      <c r="E181" s="17"/>
      <c r="F181" s="295"/>
      <c r="G181" s="17"/>
      <c r="H181" s="17"/>
    </row>
    <row r="182">
      <c r="A182" s="17"/>
      <c r="B182" s="17"/>
      <c r="C182" s="17"/>
      <c r="D182" s="17"/>
      <c r="E182" s="17"/>
      <c r="F182" s="295"/>
      <c r="G182" s="17"/>
      <c r="H182" s="17"/>
    </row>
    <row r="183">
      <c r="A183" s="17"/>
      <c r="B183" s="17"/>
      <c r="C183" s="17"/>
      <c r="D183" s="17"/>
      <c r="E183" s="17"/>
      <c r="F183" s="295"/>
      <c r="G183" s="17"/>
      <c r="H183" s="17"/>
    </row>
    <row r="184">
      <c r="A184" s="17"/>
      <c r="B184" s="17"/>
      <c r="C184" s="17"/>
      <c r="D184" s="17"/>
      <c r="E184" s="17"/>
      <c r="F184" s="295"/>
      <c r="G184" s="17"/>
      <c r="H184" s="17"/>
    </row>
    <row r="185">
      <c r="A185" s="17"/>
      <c r="B185" s="17"/>
      <c r="C185" s="17"/>
      <c r="D185" s="17"/>
      <c r="E185" s="17"/>
      <c r="F185" s="295"/>
      <c r="G185" s="17"/>
      <c r="H185" s="17"/>
    </row>
    <row r="186">
      <c r="A186" s="17"/>
      <c r="B186" s="17"/>
      <c r="C186" s="17"/>
      <c r="D186" s="17"/>
      <c r="E186" s="17"/>
      <c r="F186" s="295"/>
      <c r="G186" s="17"/>
      <c r="H186" s="17"/>
    </row>
    <row r="187">
      <c r="A187" s="17"/>
      <c r="B187" s="17"/>
      <c r="C187" s="17"/>
      <c r="D187" s="17"/>
      <c r="E187" s="17"/>
      <c r="F187" s="295"/>
      <c r="G187" s="17"/>
      <c r="H187" s="17"/>
    </row>
    <row r="188">
      <c r="A188" s="17"/>
      <c r="B188" s="17"/>
      <c r="C188" s="17"/>
      <c r="D188" s="17"/>
      <c r="E188" s="17"/>
      <c r="F188" s="295"/>
      <c r="G188" s="17"/>
      <c r="H188" s="17"/>
    </row>
    <row r="189">
      <c r="A189" s="17"/>
      <c r="B189" s="17"/>
      <c r="C189" s="17"/>
      <c r="D189" s="17"/>
      <c r="E189" s="17"/>
      <c r="F189" s="295"/>
      <c r="G189" s="17"/>
      <c r="H189" s="17"/>
    </row>
    <row r="190">
      <c r="A190" s="17"/>
      <c r="B190" s="17"/>
      <c r="C190" s="17"/>
      <c r="D190" s="17"/>
      <c r="E190" s="17"/>
      <c r="F190" s="295"/>
      <c r="G190" s="17"/>
      <c r="H190" s="17"/>
    </row>
    <row r="191">
      <c r="A191" s="17"/>
      <c r="B191" s="17"/>
      <c r="C191" s="17"/>
      <c r="D191" s="17"/>
      <c r="E191" s="17"/>
      <c r="F191" s="295"/>
      <c r="G191" s="17"/>
      <c r="H191" s="17"/>
    </row>
    <row r="192">
      <c r="A192" s="17"/>
      <c r="B192" s="17"/>
      <c r="C192" s="17"/>
      <c r="D192" s="17"/>
      <c r="E192" s="17"/>
      <c r="F192" s="295"/>
      <c r="G192" s="17"/>
      <c r="H192" s="17"/>
    </row>
    <row r="193">
      <c r="A193" s="17"/>
      <c r="B193" s="17"/>
      <c r="C193" s="17"/>
      <c r="D193" s="17"/>
      <c r="E193" s="17"/>
      <c r="F193" s="295"/>
      <c r="G193" s="17"/>
      <c r="H193" s="17"/>
    </row>
    <row r="194">
      <c r="A194" s="17"/>
      <c r="B194" s="17"/>
      <c r="C194" s="17"/>
      <c r="D194" s="17"/>
      <c r="E194" s="17"/>
      <c r="F194" s="295"/>
      <c r="G194" s="17"/>
      <c r="H194" s="17"/>
    </row>
    <row r="195">
      <c r="A195" s="17"/>
      <c r="B195" s="17"/>
      <c r="C195" s="17"/>
      <c r="D195" s="17"/>
      <c r="E195" s="17"/>
      <c r="F195" s="295"/>
      <c r="G195" s="17"/>
      <c r="H195" s="17"/>
    </row>
    <row r="196">
      <c r="A196" s="17"/>
      <c r="B196" s="17"/>
      <c r="C196" s="17"/>
      <c r="D196" s="17"/>
      <c r="E196" s="17"/>
      <c r="F196" s="295"/>
      <c r="G196" s="17"/>
      <c r="H196" s="17"/>
    </row>
    <row r="197">
      <c r="A197" s="17"/>
      <c r="B197" s="17"/>
      <c r="C197" s="17"/>
      <c r="D197" s="17"/>
      <c r="E197" s="17"/>
      <c r="F197" s="295"/>
      <c r="G197" s="17"/>
      <c r="H197" s="17"/>
    </row>
    <row r="198">
      <c r="A198" s="17"/>
      <c r="B198" s="17"/>
      <c r="C198" s="17"/>
      <c r="D198" s="17"/>
      <c r="E198" s="17"/>
      <c r="F198" s="295"/>
      <c r="G198" s="17"/>
      <c r="H198" s="17"/>
    </row>
    <row r="199">
      <c r="A199" s="17"/>
      <c r="B199" s="17"/>
      <c r="C199" s="17"/>
      <c r="D199" s="17"/>
      <c r="E199" s="17"/>
      <c r="F199" s="295"/>
      <c r="G199" s="17"/>
      <c r="H199" s="17"/>
    </row>
    <row r="200">
      <c r="A200" s="17"/>
      <c r="B200" s="17"/>
      <c r="C200" s="17"/>
      <c r="D200" s="17"/>
      <c r="E200" s="17"/>
      <c r="F200" s="295"/>
      <c r="G200" s="17"/>
      <c r="H200" s="17"/>
    </row>
    <row r="201">
      <c r="A201" s="17"/>
      <c r="B201" s="17"/>
      <c r="C201" s="17"/>
      <c r="D201" s="17"/>
      <c r="E201" s="17"/>
      <c r="F201" s="295"/>
      <c r="G201" s="17"/>
      <c r="H201" s="17"/>
    </row>
    <row r="202">
      <c r="A202" s="17"/>
      <c r="B202" s="17"/>
      <c r="C202" s="17"/>
      <c r="D202" s="17"/>
      <c r="E202" s="17"/>
      <c r="F202" s="295"/>
      <c r="G202" s="17"/>
      <c r="H202" s="17"/>
    </row>
    <row r="203">
      <c r="A203" s="17"/>
      <c r="B203" s="17"/>
      <c r="C203" s="17"/>
      <c r="D203" s="17"/>
      <c r="E203" s="17"/>
      <c r="F203" s="295"/>
      <c r="G203" s="17"/>
      <c r="H203" s="17"/>
    </row>
    <row r="204">
      <c r="A204" s="17"/>
      <c r="B204" s="17"/>
      <c r="C204" s="17"/>
      <c r="D204" s="17"/>
      <c r="E204" s="17"/>
      <c r="F204" s="295"/>
      <c r="G204" s="17"/>
      <c r="H204" s="17"/>
    </row>
    <row r="205">
      <c r="A205" s="17"/>
      <c r="B205" s="17"/>
      <c r="C205" s="17"/>
      <c r="D205" s="17"/>
      <c r="E205" s="17"/>
      <c r="F205" s="295"/>
      <c r="G205" s="17"/>
      <c r="H205" s="17"/>
    </row>
    <row r="206">
      <c r="A206" s="17"/>
      <c r="B206" s="17"/>
      <c r="C206" s="17"/>
      <c r="D206" s="17"/>
      <c r="E206" s="17"/>
      <c r="F206" s="295"/>
      <c r="G206" s="17"/>
      <c r="H206" s="17"/>
    </row>
    <row r="207">
      <c r="A207" s="17"/>
      <c r="B207" s="17"/>
      <c r="C207" s="17"/>
      <c r="D207" s="17"/>
      <c r="E207" s="17"/>
      <c r="F207" s="295"/>
      <c r="G207" s="17"/>
      <c r="H207" s="17"/>
    </row>
    <row r="208">
      <c r="A208" s="17"/>
      <c r="B208" s="17"/>
      <c r="C208" s="17"/>
      <c r="D208" s="17"/>
      <c r="E208" s="17"/>
      <c r="F208" s="295"/>
      <c r="G208" s="17"/>
      <c r="H208" s="17"/>
    </row>
    <row r="209">
      <c r="A209" s="17"/>
      <c r="B209" s="17"/>
      <c r="C209" s="17"/>
      <c r="D209" s="17"/>
      <c r="E209" s="17"/>
      <c r="F209" s="295"/>
      <c r="G209" s="17"/>
      <c r="H209" s="17"/>
    </row>
    <row r="210">
      <c r="A210" s="17"/>
      <c r="B210" s="17"/>
      <c r="C210" s="17"/>
      <c r="D210" s="17"/>
      <c r="E210" s="17"/>
      <c r="F210" s="295"/>
      <c r="G210" s="17"/>
      <c r="H210" s="17"/>
    </row>
    <row r="211">
      <c r="A211" s="17"/>
      <c r="B211" s="17"/>
      <c r="C211" s="17"/>
      <c r="D211" s="17"/>
      <c r="E211" s="17"/>
      <c r="F211" s="295"/>
      <c r="G211" s="17"/>
      <c r="H211" s="17"/>
    </row>
    <row r="212">
      <c r="A212" s="17"/>
      <c r="B212" s="17"/>
      <c r="C212" s="17"/>
      <c r="D212" s="17"/>
      <c r="E212" s="17"/>
      <c r="F212" s="295"/>
      <c r="G212" s="17"/>
      <c r="H212" s="17"/>
    </row>
    <row r="213">
      <c r="A213" s="17"/>
      <c r="B213" s="17"/>
      <c r="C213" s="17"/>
      <c r="D213" s="17"/>
      <c r="E213" s="17"/>
      <c r="F213" s="295"/>
      <c r="G213" s="17"/>
      <c r="H213" s="17"/>
    </row>
    <row r="214">
      <c r="A214" s="17"/>
      <c r="B214" s="17"/>
      <c r="C214" s="17"/>
      <c r="D214" s="17"/>
      <c r="E214" s="17"/>
      <c r="F214" s="295"/>
      <c r="G214" s="17"/>
      <c r="H214" s="17"/>
    </row>
    <row r="215">
      <c r="A215" s="17"/>
      <c r="B215" s="17"/>
      <c r="C215" s="17"/>
      <c r="D215" s="17"/>
      <c r="E215" s="17"/>
      <c r="F215" s="295"/>
      <c r="G215" s="17"/>
      <c r="H215" s="17"/>
    </row>
    <row r="216">
      <c r="A216" s="17"/>
      <c r="B216" s="17"/>
      <c r="C216" s="17"/>
      <c r="D216" s="17"/>
      <c r="E216" s="17"/>
      <c r="F216" s="295"/>
      <c r="G216" s="17"/>
      <c r="H216" s="17"/>
    </row>
    <row r="217">
      <c r="A217" s="17"/>
      <c r="B217" s="17"/>
      <c r="C217" s="17"/>
      <c r="D217" s="17"/>
      <c r="E217" s="17"/>
      <c r="F217" s="295"/>
      <c r="G217" s="17"/>
      <c r="H217" s="17"/>
    </row>
    <row r="218">
      <c r="A218" s="17"/>
      <c r="B218" s="17"/>
      <c r="C218" s="17"/>
      <c r="D218" s="17"/>
      <c r="E218" s="17"/>
      <c r="F218" s="295"/>
      <c r="G218" s="17"/>
      <c r="H218" s="17"/>
    </row>
    <row r="219">
      <c r="A219" s="17"/>
      <c r="B219" s="17"/>
      <c r="C219" s="17"/>
      <c r="D219" s="17"/>
      <c r="E219" s="17"/>
      <c r="F219" s="295"/>
      <c r="G219" s="17"/>
      <c r="H219" s="17"/>
    </row>
    <row r="220">
      <c r="A220" s="17"/>
      <c r="B220" s="17"/>
      <c r="C220" s="17"/>
      <c r="D220" s="17"/>
      <c r="E220" s="17"/>
      <c r="F220" s="295"/>
      <c r="G220" s="17"/>
      <c r="H220" s="17"/>
    </row>
    <row r="221">
      <c r="A221" s="17"/>
      <c r="B221" s="17"/>
      <c r="C221" s="17"/>
      <c r="D221" s="17"/>
      <c r="E221" s="17"/>
      <c r="F221" s="295"/>
      <c r="G221" s="17"/>
      <c r="H221" s="17"/>
    </row>
    <row r="222">
      <c r="A222" s="17"/>
      <c r="B222" s="17"/>
      <c r="C222" s="17"/>
      <c r="D222" s="17"/>
      <c r="E222" s="17"/>
      <c r="F222" s="295"/>
      <c r="G222" s="17"/>
      <c r="H222" s="17"/>
    </row>
    <row r="223">
      <c r="A223" s="17"/>
      <c r="B223" s="17"/>
      <c r="C223" s="17"/>
      <c r="D223" s="17"/>
      <c r="E223" s="17"/>
      <c r="F223" s="295"/>
      <c r="G223" s="17"/>
      <c r="H223" s="17"/>
    </row>
    <row r="224">
      <c r="A224" s="17"/>
      <c r="B224" s="17"/>
      <c r="C224" s="17"/>
      <c r="D224" s="17"/>
      <c r="E224" s="17"/>
      <c r="F224" s="295"/>
      <c r="G224" s="17"/>
      <c r="H224" s="17"/>
    </row>
    <row r="225">
      <c r="A225" s="17"/>
      <c r="B225" s="17"/>
      <c r="C225" s="17"/>
      <c r="D225" s="17"/>
      <c r="E225" s="17"/>
      <c r="F225" s="295"/>
      <c r="G225" s="17"/>
      <c r="H225" s="17"/>
    </row>
    <row r="226">
      <c r="A226" s="17"/>
      <c r="B226" s="17"/>
      <c r="C226" s="17"/>
      <c r="D226" s="17"/>
      <c r="E226" s="17"/>
      <c r="F226" s="295"/>
      <c r="G226" s="17"/>
      <c r="H226" s="17"/>
    </row>
    <row r="227">
      <c r="A227" s="17"/>
      <c r="B227" s="17"/>
      <c r="C227" s="17"/>
      <c r="D227" s="17"/>
      <c r="E227" s="17"/>
      <c r="F227" s="295"/>
      <c r="G227" s="17"/>
      <c r="H227" s="17"/>
    </row>
    <row r="228">
      <c r="A228" s="17"/>
      <c r="B228" s="17"/>
      <c r="C228" s="17"/>
      <c r="D228" s="17"/>
      <c r="E228" s="17"/>
      <c r="F228" s="295"/>
      <c r="G228" s="17"/>
      <c r="H228" s="17"/>
    </row>
    <row r="229">
      <c r="A229" s="17"/>
      <c r="B229" s="17"/>
      <c r="C229" s="17"/>
      <c r="D229" s="17"/>
      <c r="E229" s="17"/>
      <c r="F229" s="295"/>
      <c r="G229" s="17"/>
      <c r="H229" s="17"/>
    </row>
    <row r="230">
      <c r="A230" s="17"/>
      <c r="B230" s="17"/>
      <c r="C230" s="17"/>
      <c r="D230" s="17"/>
      <c r="E230" s="17"/>
      <c r="F230" s="295"/>
      <c r="G230" s="17"/>
      <c r="H230" s="17"/>
    </row>
    <row r="231">
      <c r="A231" s="17"/>
      <c r="B231" s="17"/>
      <c r="C231" s="17"/>
      <c r="D231" s="17"/>
      <c r="E231" s="17"/>
      <c r="F231" s="295"/>
      <c r="G231" s="17"/>
      <c r="H231" s="17"/>
    </row>
    <row r="232">
      <c r="A232" s="17"/>
      <c r="B232" s="17"/>
      <c r="C232" s="17"/>
      <c r="D232" s="17"/>
      <c r="E232" s="17"/>
      <c r="F232" s="295"/>
      <c r="G232" s="17"/>
      <c r="H232" s="17"/>
    </row>
    <row r="233">
      <c r="A233" s="17"/>
      <c r="B233" s="17"/>
      <c r="C233" s="17"/>
      <c r="D233" s="17"/>
      <c r="E233" s="17"/>
      <c r="F233" s="295"/>
      <c r="G233" s="17"/>
      <c r="H233" s="17"/>
    </row>
    <row r="234">
      <c r="A234" s="17"/>
      <c r="B234" s="17"/>
      <c r="C234" s="17"/>
      <c r="D234" s="17"/>
      <c r="E234" s="17"/>
      <c r="F234" s="295"/>
      <c r="G234" s="17"/>
      <c r="H234" s="17"/>
    </row>
    <row r="235">
      <c r="A235" s="17"/>
      <c r="B235" s="17"/>
      <c r="C235" s="17"/>
      <c r="D235" s="17"/>
      <c r="E235" s="17"/>
      <c r="F235" s="295"/>
      <c r="G235" s="17"/>
      <c r="H235" s="17"/>
    </row>
    <row r="236">
      <c r="A236" s="17"/>
      <c r="B236" s="17"/>
      <c r="C236" s="17"/>
      <c r="D236" s="17"/>
      <c r="E236" s="17"/>
      <c r="F236" s="295"/>
      <c r="G236" s="17"/>
      <c r="H236" s="17"/>
    </row>
    <row r="237">
      <c r="A237" s="17"/>
      <c r="B237" s="17"/>
      <c r="C237" s="17"/>
      <c r="D237" s="17"/>
      <c r="E237" s="17"/>
      <c r="F237" s="295"/>
      <c r="G237" s="17"/>
      <c r="H237" s="17"/>
    </row>
    <row r="238">
      <c r="A238" s="17"/>
      <c r="B238" s="17"/>
      <c r="C238" s="17"/>
      <c r="D238" s="17"/>
      <c r="E238" s="17"/>
      <c r="F238" s="295"/>
      <c r="G238" s="17"/>
      <c r="H238" s="17"/>
    </row>
    <row r="239">
      <c r="A239" s="17"/>
      <c r="B239" s="17"/>
      <c r="C239" s="17"/>
      <c r="D239" s="17"/>
      <c r="E239" s="17"/>
      <c r="F239" s="295"/>
      <c r="G239" s="17"/>
      <c r="H239" s="17"/>
    </row>
    <row r="240">
      <c r="A240" s="17"/>
      <c r="B240" s="17"/>
      <c r="C240" s="17"/>
      <c r="D240" s="17"/>
      <c r="E240" s="17"/>
      <c r="F240" s="295"/>
      <c r="G240" s="17"/>
      <c r="H240" s="17"/>
    </row>
    <row r="241">
      <c r="A241" s="17"/>
      <c r="B241" s="17"/>
      <c r="C241" s="17"/>
      <c r="D241" s="17"/>
      <c r="E241" s="17"/>
      <c r="F241" s="295"/>
      <c r="G241" s="17"/>
      <c r="H241" s="17"/>
    </row>
    <row r="242">
      <c r="A242" s="17"/>
      <c r="B242" s="17"/>
      <c r="C242" s="17"/>
      <c r="D242" s="17"/>
      <c r="E242" s="17"/>
      <c r="F242" s="295"/>
      <c r="G242" s="17"/>
      <c r="H242" s="17"/>
    </row>
    <row r="243">
      <c r="A243" s="17"/>
      <c r="B243" s="17"/>
      <c r="C243" s="17"/>
      <c r="D243" s="17"/>
      <c r="E243" s="17"/>
      <c r="F243" s="295"/>
      <c r="G243" s="17"/>
      <c r="H243" s="17"/>
    </row>
    <row r="244">
      <c r="A244" s="17"/>
      <c r="B244" s="17"/>
      <c r="C244" s="17"/>
      <c r="D244" s="17"/>
      <c r="E244" s="17"/>
      <c r="F244" s="295"/>
      <c r="G244" s="17"/>
      <c r="H244" s="17"/>
    </row>
    <row r="245">
      <c r="A245" s="17"/>
      <c r="B245" s="17"/>
      <c r="C245" s="17"/>
      <c r="D245" s="17"/>
      <c r="E245" s="17"/>
      <c r="F245" s="295"/>
      <c r="G245" s="17"/>
      <c r="H245" s="17"/>
    </row>
    <row r="246">
      <c r="A246" s="17"/>
      <c r="B246" s="17"/>
      <c r="C246" s="17"/>
      <c r="D246" s="17"/>
      <c r="E246" s="17"/>
      <c r="F246" s="295"/>
      <c r="G246" s="17"/>
      <c r="H246" s="17"/>
    </row>
    <row r="247">
      <c r="A247" s="17"/>
      <c r="B247" s="17"/>
      <c r="C247" s="17"/>
      <c r="D247" s="17"/>
      <c r="E247" s="17"/>
      <c r="F247" s="295"/>
      <c r="G247" s="17"/>
      <c r="H247" s="17"/>
    </row>
    <row r="248">
      <c r="A248" s="17"/>
      <c r="B248" s="17"/>
      <c r="C248" s="17"/>
      <c r="D248" s="17"/>
      <c r="E248" s="17"/>
      <c r="F248" s="295"/>
      <c r="G248" s="17"/>
      <c r="H248" s="17"/>
    </row>
    <row r="249">
      <c r="A249" s="17"/>
      <c r="B249" s="17"/>
      <c r="C249" s="17"/>
      <c r="D249" s="17"/>
      <c r="E249" s="17"/>
      <c r="F249" s="295"/>
      <c r="G249" s="17"/>
      <c r="H249" s="17"/>
    </row>
    <row r="250">
      <c r="A250" s="17"/>
      <c r="B250" s="17"/>
      <c r="C250" s="17"/>
      <c r="D250" s="17"/>
      <c r="E250" s="17"/>
      <c r="F250" s="295"/>
      <c r="G250" s="17"/>
      <c r="H250" s="17"/>
    </row>
    <row r="251">
      <c r="A251" s="17"/>
      <c r="B251" s="17"/>
      <c r="C251" s="17"/>
      <c r="D251" s="17"/>
      <c r="E251" s="17"/>
      <c r="F251" s="295"/>
      <c r="G251" s="17"/>
      <c r="H251" s="17"/>
    </row>
    <row r="252">
      <c r="A252" s="17"/>
      <c r="B252" s="17"/>
      <c r="C252" s="17"/>
      <c r="D252" s="17"/>
      <c r="E252" s="17"/>
      <c r="F252" s="295"/>
      <c r="G252" s="17"/>
      <c r="H252" s="17"/>
    </row>
    <row r="253">
      <c r="A253" s="17"/>
      <c r="B253" s="17"/>
      <c r="C253" s="17"/>
      <c r="D253" s="17"/>
      <c r="E253" s="17"/>
      <c r="F253" s="295"/>
      <c r="G253" s="17"/>
      <c r="H253" s="17"/>
    </row>
    <row r="254">
      <c r="A254" s="17"/>
      <c r="B254" s="17"/>
      <c r="C254" s="17"/>
      <c r="D254" s="17"/>
      <c r="E254" s="17"/>
      <c r="F254" s="295"/>
      <c r="G254" s="17"/>
      <c r="H254" s="17"/>
    </row>
    <row r="255">
      <c r="A255" s="17"/>
      <c r="B255" s="17"/>
      <c r="C255" s="17"/>
      <c r="D255" s="17"/>
      <c r="E255" s="17"/>
      <c r="F255" s="295"/>
      <c r="G255" s="17"/>
      <c r="H255" s="17"/>
    </row>
    <row r="256">
      <c r="A256" s="17"/>
      <c r="B256" s="17"/>
      <c r="C256" s="17"/>
      <c r="D256" s="17"/>
      <c r="E256" s="17"/>
      <c r="F256" s="295"/>
      <c r="G256" s="17"/>
      <c r="H256" s="17"/>
    </row>
    <row r="257">
      <c r="A257" s="17"/>
      <c r="B257" s="17"/>
      <c r="C257" s="17"/>
      <c r="D257" s="17"/>
      <c r="E257" s="17"/>
      <c r="F257" s="295"/>
      <c r="G257" s="17"/>
      <c r="H257" s="17"/>
    </row>
    <row r="258">
      <c r="A258" s="17"/>
      <c r="B258" s="17"/>
      <c r="C258" s="17"/>
      <c r="D258" s="17"/>
      <c r="E258" s="17"/>
      <c r="F258" s="295"/>
      <c r="G258" s="17"/>
      <c r="H258" s="17"/>
    </row>
    <row r="259">
      <c r="A259" s="17"/>
      <c r="B259" s="17"/>
      <c r="C259" s="17"/>
      <c r="D259" s="17"/>
      <c r="E259" s="17"/>
      <c r="F259" s="295"/>
      <c r="G259" s="17"/>
      <c r="H259" s="17"/>
    </row>
    <row r="260">
      <c r="A260" s="17"/>
      <c r="B260" s="17"/>
      <c r="C260" s="17"/>
      <c r="D260" s="17"/>
      <c r="E260" s="17"/>
      <c r="F260" s="295"/>
      <c r="G260" s="17"/>
      <c r="H260" s="17"/>
    </row>
    <row r="261">
      <c r="A261" s="17"/>
      <c r="B261" s="17"/>
      <c r="C261" s="17"/>
      <c r="D261" s="17"/>
      <c r="E261" s="17"/>
      <c r="F261" s="295"/>
      <c r="G261" s="17"/>
      <c r="H261" s="17"/>
    </row>
    <row r="262">
      <c r="A262" s="17"/>
      <c r="B262" s="17"/>
      <c r="C262" s="17"/>
      <c r="D262" s="17"/>
      <c r="E262" s="17"/>
      <c r="F262" s="295"/>
      <c r="G262" s="17"/>
      <c r="H262" s="17"/>
    </row>
    <row r="263">
      <c r="A263" s="17"/>
      <c r="B263" s="17"/>
      <c r="C263" s="17"/>
      <c r="D263" s="17"/>
      <c r="E263" s="17"/>
      <c r="F263" s="295"/>
      <c r="G263" s="17"/>
      <c r="H263" s="17"/>
    </row>
    <row r="264">
      <c r="A264" s="17"/>
      <c r="B264" s="17"/>
      <c r="C264" s="17"/>
      <c r="D264" s="17"/>
      <c r="E264" s="17"/>
      <c r="F264" s="295"/>
      <c r="G264" s="17"/>
      <c r="H264" s="17"/>
    </row>
    <row r="265">
      <c r="A265" s="17"/>
      <c r="B265" s="17"/>
      <c r="C265" s="17"/>
      <c r="D265" s="17"/>
      <c r="E265" s="17"/>
      <c r="F265" s="295"/>
      <c r="G265" s="17"/>
      <c r="H265" s="17"/>
    </row>
    <row r="266">
      <c r="A266" s="17"/>
      <c r="B266" s="17"/>
      <c r="C266" s="17"/>
      <c r="D266" s="17"/>
      <c r="E266" s="17"/>
      <c r="F266" s="295"/>
      <c r="G266" s="17"/>
      <c r="H266" s="17"/>
    </row>
    <row r="267">
      <c r="A267" s="17"/>
      <c r="B267" s="17"/>
      <c r="C267" s="17"/>
      <c r="D267" s="17"/>
      <c r="E267" s="17"/>
      <c r="F267" s="295"/>
      <c r="G267" s="17"/>
      <c r="H267" s="17"/>
    </row>
    <row r="268">
      <c r="A268" s="17"/>
      <c r="B268" s="17"/>
      <c r="C268" s="17"/>
      <c r="D268" s="17"/>
      <c r="E268" s="17"/>
      <c r="F268" s="295"/>
      <c r="G268" s="17"/>
      <c r="H268" s="17"/>
    </row>
    <row r="269">
      <c r="A269" s="17"/>
      <c r="B269" s="17"/>
      <c r="C269" s="17"/>
      <c r="D269" s="17"/>
      <c r="E269" s="17"/>
      <c r="F269" s="295"/>
      <c r="G269" s="17"/>
      <c r="H269" s="17"/>
    </row>
    <row r="270">
      <c r="A270" s="17"/>
      <c r="B270" s="17"/>
      <c r="C270" s="17"/>
      <c r="D270" s="17"/>
      <c r="E270" s="17"/>
      <c r="F270" s="295"/>
      <c r="G270" s="17"/>
      <c r="H270" s="17"/>
    </row>
    <row r="271">
      <c r="A271" s="17"/>
      <c r="B271" s="17"/>
      <c r="C271" s="17"/>
      <c r="D271" s="17"/>
      <c r="E271" s="17"/>
      <c r="F271" s="295"/>
      <c r="G271" s="17"/>
      <c r="H271" s="17"/>
    </row>
    <row r="272">
      <c r="A272" s="17"/>
      <c r="B272" s="17"/>
      <c r="C272" s="17"/>
      <c r="D272" s="17"/>
      <c r="E272" s="17"/>
      <c r="F272" s="295"/>
      <c r="G272" s="17"/>
      <c r="H272" s="17"/>
    </row>
    <row r="273">
      <c r="A273" s="17"/>
      <c r="B273" s="17"/>
      <c r="C273" s="17"/>
      <c r="D273" s="17"/>
      <c r="E273" s="17"/>
      <c r="F273" s="295"/>
      <c r="G273" s="17"/>
      <c r="H273" s="17"/>
    </row>
    <row r="274">
      <c r="A274" s="17"/>
      <c r="B274" s="17"/>
      <c r="C274" s="17"/>
      <c r="D274" s="17"/>
      <c r="E274" s="17"/>
      <c r="F274" s="295"/>
      <c r="G274" s="17"/>
      <c r="H274" s="17"/>
    </row>
    <row r="275">
      <c r="A275" s="17"/>
      <c r="B275" s="17"/>
      <c r="C275" s="17"/>
      <c r="D275" s="17"/>
      <c r="E275" s="17"/>
      <c r="F275" s="295"/>
      <c r="G275" s="17"/>
      <c r="H275" s="17"/>
    </row>
    <row r="276">
      <c r="A276" s="17"/>
      <c r="B276" s="17"/>
      <c r="C276" s="17"/>
      <c r="D276" s="17"/>
      <c r="E276" s="17"/>
      <c r="F276" s="295"/>
      <c r="G276" s="17"/>
      <c r="H276" s="17"/>
    </row>
    <row r="277">
      <c r="A277" s="17"/>
      <c r="B277" s="17"/>
      <c r="C277" s="17"/>
      <c r="D277" s="17"/>
      <c r="E277" s="17"/>
      <c r="F277" s="295"/>
      <c r="G277" s="17"/>
      <c r="H277" s="17"/>
    </row>
    <row r="278">
      <c r="A278" s="17"/>
      <c r="B278" s="17"/>
      <c r="C278" s="17"/>
      <c r="D278" s="17"/>
      <c r="E278" s="17"/>
      <c r="F278" s="295"/>
      <c r="G278" s="17"/>
      <c r="H278" s="17"/>
    </row>
    <row r="279">
      <c r="A279" s="17"/>
      <c r="B279" s="17"/>
      <c r="C279" s="17"/>
      <c r="D279" s="17"/>
      <c r="E279" s="17"/>
      <c r="F279" s="295"/>
      <c r="G279" s="17"/>
      <c r="H279" s="17"/>
    </row>
    <row r="280">
      <c r="A280" s="17"/>
      <c r="B280" s="17"/>
      <c r="C280" s="17"/>
      <c r="D280" s="17"/>
      <c r="E280" s="17"/>
      <c r="F280" s="295"/>
      <c r="G280" s="17"/>
      <c r="H280" s="17"/>
    </row>
    <row r="281">
      <c r="A281" s="17"/>
      <c r="B281" s="17"/>
      <c r="C281" s="17"/>
      <c r="D281" s="17"/>
      <c r="E281" s="17"/>
      <c r="F281" s="295"/>
      <c r="G281" s="17"/>
      <c r="H281" s="17"/>
    </row>
    <row r="282">
      <c r="A282" s="17"/>
      <c r="B282" s="17"/>
      <c r="C282" s="17"/>
      <c r="D282" s="17"/>
      <c r="E282" s="17"/>
      <c r="F282" s="295"/>
      <c r="G282" s="17"/>
      <c r="H282" s="17"/>
    </row>
    <row r="283">
      <c r="A283" s="17"/>
      <c r="B283" s="17"/>
      <c r="C283" s="17"/>
      <c r="D283" s="17"/>
      <c r="E283" s="17"/>
      <c r="F283" s="295"/>
      <c r="G283" s="17"/>
      <c r="H283" s="17"/>
    </row>
    <row r="284">
      <c r="A284" s="17"/>
      <c r="B284" s="17"/>
      <c r="C284" s="17"/>
      <c r="D284" s="17"/>
      <c r="E284" s="17"/>
      <c r="F284" s="295"/>
      <c r="G284" s="17"/>
      <c r="H284" s="17"/>
    </row>
    <row r="285">
      <c r="A285" s="17"/>
      <c r="B285" s="17"/>
      <c r="C285" s="17"/>
      <c r="D285" s="17"/>
      <c r="E285" s="17"/>
      <c r="F285" s="295"/>
      <c r="G285" s="17"/>
      <c r="H285" s="17"/>
    </row>
    <row r="286">
      <c r="A286" s="17"/>
      <c r="B286" s="17"/>
      <c r="C286" s="17"/>
      <c r="D286" s="17"/>
      <c r="E286" s="17"/>
      <c r="F286" s="295"/>
      <c r="G286" s="17"/>
      <c r="H286" s="17"/>
    </row>
    <row r="287">
      <c r="A287" s="17"/>
      <c r="B287" s="17"/>
      <c r="C287" s="17"/>
      <c r="D287" s="17"/>
      <c r="E287" s="17"/>
      <c r="F287" s="295"/>
      <c r="G287" s="17"/>
      <c r="H287" s="17"/>
    </row>
    <row r="288">
      <c r="A288" s="17"/>
      <c r="B288" s="17"/>
      <c r="C288" s="17"/>
      <c r="D288" s="17"/>
      <c r="E288" s="17"/>
      <c r="F288" s="295"/>
      <c r="G288" s="17"/>
      <c r="H288" s="17"/>
    </row>
    <row r="289">
      <c r="A289" s="17"/>
      <c r="B289" s="17"/>
      <c r="C289" s="17"/>
      <c r="D289" s="17"/>
      <c r="E289" s="17"/>
      <c r="F289" s="295"/>
      <c r="G289" s="17"/>
      <c r="H289" s="17"/>
    </row>
    <row r="290">
      <c r="A290" s="17"/>
      <c r="B290" s="17"/>
      <c r="C290" s="17"/>
      <c r="D290" s="17"/>
      <c r="E290" s="17"/>
      <c r="F290" s="295"/>
      <c r="G290" s="17"/>
      <c r="H290" s="17"/>
    </row>
    <row r="291">
      <c r="A291" s="17"/>
      <c r="B291" s="17"/>
      <c r="C291" s="17"/>
      <c r="D291" s="17"/>
      <c r="E291" s="17"/>
      <c r="F291" s="295"/>
      <c r="G291" s="17"/>
      <c r="H291" s="17"/>
    </row>
    <row r="292">
      <c r="A292" s="17"/>
      <c r="B292" s="17"/>
      <c r="C292" s="17"/>
      <c r="D292" s="17"/>
      <c r="E292" s="17"/>
      <c r="F292" s="295"/>
      <c r="G292" s="17"/>
      <c r="H292" s="17"/>
    </row>
    <row r="293">
      <c r="A293" s="17"/>
      <c r="B293" s="17"/>
      <c r="C293" s="17"/>
      <c r="D293" s="17"/>
      <c r="E293" s="17"/>
      <c r="F293" s="295"/>
      <c r="G293" s="17"/>
      <c r="H293" s="17"/>
    </row>
    <row r="294">
      <c r="A294" s="17"/>
      <c r="B294" s="17"/>
      <c r="C294" s="17"/>
      <c r="D294" s="17"/>
      <c r="E294" s="17"/>
      <c r="F294" s="295"/>
      <c r="G294" s="17"/>
      <c r="H294" s="17"/>
    </row>
    <row r="295">
      <c r="A295" s="17"/>
      <c r="B295" s="17"/>
      <c r="C295" s="17"/>
      <c r="D295" s="17"/>
      <c r="E295" s="17"/>
      <c r="F295" s="295"/>
      <c r="G295" s="17"/>
      <c r="H295" s="17"/>
    </row>
    <row r="296">
      <c r="A296" s="17"/>
      <c r="B296" s="17"/>
      <c r="C296" s="17"/>
      <c r="D296" s="17"/>
      <c r="E296" s="17"/>
      <c r="F296" s="295"/>
      <c r="G296" s="17"/>
      <c r="H296" s="17"/>
    </row>
    <row r="297">
      <c r="A297" s="17"/>
      <c r="B297" s="17"/>
      <c r="C297" s="17"/>
      <c r="D297" s="17"/>
      <c r="E297" s="17"/>
      <c r="F297" s="295"/>
      <c r="G297" s="17"/>
      <c r="H297" s="17"/>
    </row>
    <row r="298">
      <c r="A298" s="17"/>
      <c r="B298" s="17"/>
      <c r="C298" s="17"/>
      <c r="D298" s="17"/>
      <c r="E298" s="17"/>
      <c r="F298" s="295"/>
      <c r="G298" s="17"/>
      <c r="H298" s="17"/>
    </row>
    <row r="299">
      <c r="A299" s="17"/>
      <c r="B299" s="17"/>
      <c r="C299" s="17"/>
      <c r="D299" s="17"/>
      <c r="E299" s="17"/>
      <c r="F299" s="295"/>
      <c r="G299" s="17"/>
      <c r="H299" s="17"/>
    </row>
    <row r="300">
      <c r="A300" s="17"/>
      <c r="B300" s="17"/>
      <c r="C300" s="17"/>
      <c r="D300" s="17"/>
      <c r="E300" s="17"/>
      <c r="F300" s="295"/>
      <c r="G300" s="17"/>
      <c r="H300" s="17"/>
    </row>
    <row r="301">
      <c r="A301" s="17"/>
      <c r="B301" s="17"/>
      <c r="C301" s="17"/>
      <c r="D301" s="17"/>
      <c r="E301" s="17"/>
      <c r="F301" s="295"/>
      <c r="G301" s="17"/>
      <c r="H301" s="17"/>
    </row>
    <row r="302">
      <c r="A302" s="17"/>
      <c r="B302" s="17"/>
      <c r="C302" s="17"/>
      <c r="D302" s="17"/>
      <c r="E302" s="17"/>
      <c r="F302" s="295"/>
      <c r="G302" s="17"/>
      <c r="H302" s="17"/>
    </row>
    <row r="303">
      <c r="A303" s="17"/>
      <c r="B303" s="17"/>
      <c r="C303" s="17"/>
      <c r="D303" s="17"/>
      <c r="E303" s="17"/>
      <c r="F303" s="295"/>
      <c r="G303" s="17"/>
      <c r="H303" s="17"/>
    </row>
    <row r="304">
      <c r="A304" s="17"/>
      <c r="B304" s="17"/>
      <c r="C304" s="17"/>
      <c r="D304" s="17"/>
      <c r="E304" s="17"/>
      <c r="F304" s="295"/>
      <c r="G304" s="17"/>
      <c r="H304" s="17"/>
    </row>
    <row r="305">
      <c r="A305" s="17"/>
      <c r="B305" s="17"/>
      <c r="C305" s="17"/>
      <c r="D305" s="17"/>
      <c r="E305" s="17"/>
      <c r="F305" s="295"/>
      <c r="G305" s="17"/>
      <c r="H305" s="17"/>
    </row>
    <row r="306">
      <c r="A306" s="17"/>
      <c r="B306" s="17"/>
      <c r="C306" s="17"/>
      <c r="D306" s="17"/>
      <c r="E306" s="17"/>
      <c r="F306" s="295"/>
      <c r="G306" s="17"/>
      <c r="H306" s="17"/>
    </row>
    <row r="307">
      <c r="A307" s="17"/>
      <c r="B307" s="17"/>
      <c r="C307" s="17"/>
      <c r="D307" s="17"/>
      <c r="E307" s="17"/>
      <c r="F307" s="295"/>
      <c r="G307" s="17"/>
      <c r="H307" s="17"/>
    </row>
    <row r="308">
      <c r="A308" s="17"/>
      <c r="B308" s="17"/>
      <c r="C308" s="17"/>
      <c r="D308" s="17"/>
      <c r="E308" s="17"/>
      <c r="F308" s="295"/>
      <c r="G308" s="17"/>
      <c r="H308" s="17"/>
    </row>
    <row r="309">
      <c r="A309" s="17"/>
      <c r="B309" s="17"/>
      <c r="C309" s="17"/>
      <c r="D309" s="17"/>
      <c r="E309" s="17"/>
      <c r="F309" s="295"/>
      <c r="G309" s="17"/>
      <c r="H309" s="17"/>
    </row>
    <row r="310">
      <c r="A310" s="17"/>
      <c r="B310" s="17"/>
      <c r="C310" s="17"/>
      <c r="D310" s="17"/>
      <c r="E310" s="17"/>
      <c r="F310" s="295"/>
      <c r="G310" s="17"/>
      <c r="H310" s="17"/>
    </row>
    <row r="311">
      <c r="A311" s="17"/>
      <c r="B311" s="17"/>
      <c r="C311" s="17"/>
      <c r="D311" s="17"/>
      <c r="E311" s="17"/>
      <c r="F311" s="295"/>
      <c r="G311" s="17"/>
      <c r="H311" s="17"/>
    </row>
    <row r="312">
      <c r="A312" s="17"/>
      <c r="B312" s="17"/>
      <c r="C312" s="17"/>
      <c r="D312" s="17"/>
      <c r="E312" s="17"/>
      <c r="F312" s="295"/>
      <c r="G312" s="17"/>
      <c r="H312" s="17"/>
    </row>
    <row r="313">
      <c r="A313" s="17"/>
      <c r="B313" s="17"/>
      <c r="C313" s="17"/>
      <c r="D313" s="17"/>
      <c r="E313" s="17"/>
      <c r="F313" s="295"/>
      <c r="G313" s="17"/>
      <c r="H313" s="17"/>
    </row>
    <row r="314">
      <c r="A314" s="17"/>
      <c r="B314" s="17"/>
      <c r="C314" s="17"/>
      <c r="D314" s="17"/>
      <c r="E314" s="17"/>
      <c r="F314" s="295"/>
      <c r="G314" s="17"/>
      <c r="H314" s="17"/>
    </row>
    <row r="315">
      <c r="A315" s="17"/>
      <c r="B315" s="17"/>
      <c r="C315" s="17"/>
      <c r="D315" s="17"/>
      <c r="E315" s="17"/>
      <c r="F315" s="295"/>
      <c r="G315" s="17"/>
      <c r="H315" s="17"/>
    </row>
    <row r="316">
      <c r="A316" s="17"/>
      <c r="B316" s="17"/>
      <c r="C316" s="17"/>
      <c r="D316" s="17"/>
      <c r="E316" s="17"/>
      <c r="F316" s="295"/>
      <c r="G316" s="17"/>
      <c r="H316" s="17"/>
    </row>
    <row r="317">
      <c r="A317" s="17"/>
      <c r="B317" s="17"/>
      <c r="C317" s="17"/>
      <c r="D317" s="17"/>
      <c r="E317" s="17"/>
      <c r="F317" s="295"/>
      <c r="G317" s="17"/>
      <c r="H317" s="17"/>
    </row>
    <row r="318">
      <c r="A318" s="17"/>
      <c r="B318" s="17"/>
      <c r="C318" s="17"/>
      <c r="D318" s="17"/>
      <c r="E318" s="17"/>
      <c r="F318" s="295"/>
      <c r="G318" s="17"/>
      <c r="H318" s="17"/>
    </row>
    <row r="319">
      <c r="A319" s="17"/>
      <c r="B319" s="17"/>
      <c r="C319" s="17"/>
      <c r="D319" s="17"/>
      <c r="E319" s="17"/>
      <c r="F319" s="295"/>
      <c r="G319" s="17"/>
      <c r="H319" s="17"/>
    </row>
    <row r="320">
      <c r="A320" s="17"/>
      <c r="B320" s="17"/>
      <c r="C320" s="17"/>
      <c r="D320" s="17"/>
      <c r="E320" s="17"/>
      <c r="F320" s="295"/>
      <c r="G320" s="17"/>
      <c r="H320" s="17"/>
    </row>
    <row r="321">
      <c r="A321" s="17"/>
      <c r="B321" s="17"/>
      <c r="C321" s="17"/>
      <c r="D321" s="17"/>
      <c r="E321" s="17"/>
      <c r="F321" s="295"/>
      <c r="G321" s="17"/>
      <c r="H321" s="17"/>
    </row>
    <row r="322">
      <c r="A322" s="17"/>
      <c r="B322" s="17"/>
      <c r="C322" s="17"/>
      <c r="D322" s="17"/>
      <c r="E322" s="17"/>
      <c r="F322" s="295"/>
      <c r="G322" s="17"/>
      <c r="H322" s="17"/>
    </row>
    <row r="323">
      <c r="A323" s="17"/>
      <c r="B323" s="17"/>
      <c r="C323" s="17"/>
      <c r="D323" s="17"/>
      <c r="E323" s="17"/>
      <c r="F323" s="295"/>
      <c r="G323" s="17"/>
      <c r="H323" s="17"/>
    </row>
    <row r="324">
      <c r="A324" s="17"/>
      <c r="B324" s="17"/>
      <c r="C324" s="17"/>
      <c r="D324" s="17"/>
      <c r="E324" s="17"/>
      <c r="F324" s="295"/>
      <c r="G324" s="17"/>
      <c r="H324" s="17"/>
    </row>
    <row r="325">
      <c r="A325" s="17"/>
      <c r="B325" s="17"/>
      <c r="C325" s="17"/>
      <c r="D325" s="17"/>
      <c r="E325" s="17"/>
      <c r="F325" s="295"/>
      <c r="G325" s="17"/>
      <c r="H325" s="17"/>
    </row>
    <row r="326">
      <c r="A326" s="17"/>
      <c r="B326" s="17"/>
      <c r="C326" s="17"/>
      <c r="D326" s="17"/>
      <c r="E326" s="17"/>
      <c r="F326" s="295"/>
      <c r="G326" s="17"/>
      <c r="H326" s="17"/>
    </row>
    <row r="327">
      <c r="A327" s="17"/>
      <c r="B327" s="17"/>
      <c r="C327" s="17"/>
      <c r="D327" s="17"/>
      <c r="E327" s="17"/>
      <c r="F327" s="295"/>
      <c r="G327" s="17"/>
      <c r="H327" s="17"/>
    </row>
    <row r="328">
      <c r="A328" s="17"/>
      <c r="B328" s="17"/>
      <c r="C328" s="17"/>
      <c r="D328" s="17"/>
      <c r="E328" s="17"/>
      <c r="F328" s="295"/>
      <c r="G328" s="17"/>
      <c r="H328" s="17"/>
    </row>
    <row r="329">
      <c r="A329" s="17"/>
      <c r="B329" s="17"/>
      <c r="C329" s="17"/>
      <c r="D329" s="17"/>
      <c r="E329" s="17"/>
      <c r="F329" s="295"/>
      <c r="G329" s="17"/>
      <c r="H329" s="17"/>
    </row>
    <row r="330">
      <c r="A330" s="17"/>
      <c r="B330" s="17"/>
      <c r="C330" s="17"/>
      <c r="D330" s="17"/>
      <c r="E330" s="17"/>
      <c r="F330" s="295"/>
      <c r="G330" s="17"/>
      <c r="H330" s="17"/>
    </row>
    <row r="331">
      <c r="A331" s="17"/>
      <c r="B331" s="17"/>
      <c r="C331" s="17"/>
      <c r="D331" s="17"/>
      <c r="E331" s="17"/>
      <c r="F331" s="295"/>
      <c r="G331" s="17"/>
      <c r="H331" s="17"/>
    </row>
    <row r="332">
      <c r="A332" s="17"/>
      <c r="B332" s="17"/>
      <c r="C332" s="17"/>
      <c r="D332" s="17"/>
      <c r="E332" s="17"/>
      <c r="F332" s="295"/>
      <c r="G332" s="17"/>
      <c r="H332" s="17"/>
    </row>
    <row r="333">
      <c r="A333" s="17"/>
      <c r="B333" s="17"/>
      <c r="C333" s="17"/>
      <c r="D333" s="17"/>
      <c r="E333" s="17"/>
      <c r="F333" s="295"/>
      <c r="G333" s="17"/>
      <c r="H333" s="17"/>
    </row>
    <row r="334">
      <c r="A334" s="17"/>
      <c r="B334" s="17"/>
      <c r="C334" s="17"/>
      <c r="D334" s="17"/>
      <c r="E334" s="17"/>
      <c r="F334" s="295"/>
      <c r="G334" s="17"/>
      <c r="H334" s="17"/>
    </row>
    <row r="335">
      <c r="A335" s="17"/>
      <c r="B335" s="17"/>
      <c r="C335" s="17"/>
      <c r="D335" s="17"/>
      <c r="E335" s="17"/>
      <c r="F335" s="295"/>
      <c r="G335" s="17"/>
      <c r="H335" s="17"/>
    </row>
    <row r="336">
      <c r="A336" s="17"/>
      <c r="B336" s="17"/>
      <c r="C336" s="17"/>
      <c r="D336" s="17"/>
      <c r="E336" s="17"/>
      <c r="F336" s="295"/>
      <c r="G336" s="17"/>
      <c r="H336" s="17"/>
    </row>
    <row r="337">
      <c r="A337" s="17"/>
      <c r="B337" s="17"/>
      <c r="C337" s="17"/>
      <c r="D337" s="17"/>
      <c r="E337" s="17"/>
      <c r="F337" s="295"/>
      <c r="G337" s="17"/>
      <c r="H337" s="17"/>
    </row>
    <row r="338">
      <c r="A338" s="17"/>
      <c r="B338" s="17"/>
      <c r="C338" s="17"/>
      <c r="D338" s="17"/>
      <c r="E338" s="17"/>
      <c r="F338" s="295"/>
      <c r="G338" s="17"/>
      <c r="H338" s="17"/>
    </row>
    <row r="339">
      <c r="A339" s="17"/>
      <c r="B339" s="17"/>
      <c r="C339" s="17"/>
      <c r="D339" s="17"/>
      <c r="E339" s="17"/>
      <c r="F339" s="295"/>
      <c r="G339" s="17"/>
      <c r="H339" s="17"/>
    </row>
    <row r="340">
      <c r="A340" s="17"/>
      <c r="B340" s="17"/>
      <c r="C340" s="17"/>
      <c r="D340" s="17"/>
      <c r="E340" s="17"/>
      <c r="F340" s="295"/>
      <c r="G340" s="17"/>
      <c r="H340" s="17"/>
    </row>
    <row r="341">
      <c r="A341" s="17"/>
      <c r="B341" s="17"/>
      <c r="C341" s="17"/>
      <c r="D341" s="17"/>
      <c r="E341" s="17"/>
      <c r="F341" s="295"/>
      <c r="G341" s="17"/>
      <c r="H341" s="17"/>
    </row>
    <row r="342">
      <c r="A342" s="17"/>
      <c r="B342" s="17"/>
      <c r="C342" s="17"/>
      <c r="D342" s="17"/>
      <c r="E342" s="17"/>
      <c r="F342" s="295"/>
      <c r="G342" s="17"/>
      <c r="H342" s="17"/>
    </row>
    <row r="343">
      <c r="A343" s="17"/>
      <c r="B343" s="17"/>
      <c r="C343" s="17"/>
      <c r="D343" s="17"/>
      <c r="E343" s="17"/>
      <c r="F343" s="295"/>
      <c r="G343" s="17"/>
      <c r="H343" s="17"/>
    </row>
    <row r="344">
      <c r="A344" s="17"/>
      <c r="B344" s="17"/>
      <c r="C344" s="17"/>
      <c r="D344" s="17"/>
      <c r="E344" s="17"/>
      <c r="F344" s="295"/>
      <c r="G344" s="17"/>
      <c r="H344" s="17"/>
    </row>
    <row r="345">
      <c r="A345" s="17"/>
      <c r="B345" s="17"/>
      <c r="C345" s="17"/>
      <c r="D345" s="17"/>
      <c r="E345" s="17"/>
      <c r="F345" s="295"/>
      <c r="G345" s="17"/>
      <c r="H345" s="17"/>
    </row>
    <row r="346">
      <c r="A346" s="17"/>
      <c r="B346" s="17"/>
      <c r="C346" s="17"/>
      <c r="D346" s="17"/>
      <c r="E346" s="17"/>
      <c r="F346" s="295"/>
      <c r="G346" s="17"/>
      <c r="H346" s="17"/>
    </row>
    <row r="347">
      <c r="A347" s="17"/>
      <c r="B347" s="17"/>
      <c r="C347" s="17"/>
      <c r="D347" s="17"/>
      <c r="E347" s="17"/>
      <c r="F347" s="295"/>
      <c r="G347" s="17"/>
      <c r="H347" s="17"/>
    </row>
    <row r="348">
      <c r="A348" s="17"/>
      <c r="B348" s="17"/>
      <c r="C348" s="17"/>
      <c r="D348" s="17"/>
      <c r="E348" s="17"/>
      <c r="F348" s="295"/>
      <c r="G348" s="17"/>
      <c r="H348" s="17"/>
    </row>
    <row r="349">
      <c r="A349" s="17"/>
      <c r="B349" s="17"/>
      <c r="C349" s="17"/>
      <c r="D349" s="17"/>
      <c r="E349" s="17"/>
      <c r="F349" s="295"/>
      <c r="G349" s="17"/>
      <c r="H349" s="17"/>
    </row>
    <row r="350">
      <c r="A350" s="17"/>
      <c r="B350" s="17"/>
      <c r="C350" s="17"/>
      <c r="D350" s="17"/>
      <c r="E350" s="17"/>
      <c r="F350" s="295"/>
      <c r="G350" s="17"/>
      <c r="H350" s="17"/>
    </row>
    <row r="351">
      <c r="A351" s="17"/>
      <c r="B351" s="17"/>
      <c r="C351" s="17"/>
      <c r="D351" s="17"/>
      <c r="E351" s="17"/>
      <c r="F351" s="295"/>
      <c r="G351" s="17"/>
      <c r="H351" s="17"/>
    </row>
    <row r="352">
      <c r="A352" s="17"/>
      <c r="B352" s="17"/>
      <c r="C352" s="17"/>
      <c r="D352" s="17"/>
      <c r="E352" s="17"/>
      <c r="F352" s="295"/>
      <c r="G352" s="17"/>
      <c r="H352" s="17"/>
    </row>
    <row r="353">
      <c r="A353" s="17"/>
      <c r="B353" s="17"/>
      <c r="C353" s="17"/>
      <c r="D353" s="17"/>
      <c r="E353" s="17"/>
      <c r="F353" s="295"/>
      <c r="G353" s="17"/>
      <c r="H353" s="17"/>
    </row>
    <row r="354">
      <c r="A354" s="17"/>
      <c r="B354" s="17"/>
      <c r="C354" s="17"/>
      <c r="D354" s="17"/>
      <c r="E354" s="17"/>
      <c r="F354" s="295"/>
      <c r="G354" s="17"/>
      <c r="H354" s="17"/>
    </row>
    <row r="355">
      <c r="A355" s="17"/>
      <c r="B355" s="17"/>
      <c r="C355" s="17"/>
      <c r="D355" s="17"/>
      <c r="E355" s="17"/>
      <c r="F355" s="295"/>
      <c r="G355" s="17"/>
      <c r="H355" s="17"/>
    </row>
    <row r="356">
      <c r="A356" s="17"/>
      <c r="B356" s="17"/>
      <c r="C356" s="17"/>
      <c r="D356" s="17"/>
      <c r="E356" s="17"/>
      <c r="F356" s="295"/>
      <c r="G356" s="17"/>
      <c r="H356" s="17"/>
    </row>
    <row r="357">
      <c r="A357" s="17"/>
      <c r="B357" s="17"/>
      <c r="C357" s="17"/>
      <c r="D357" s="17"/>
      <c r="E357" s="17"/>
      <c r="F357" s="295"/>
      <c r="G357" s="17"/>
      <c r="H357" s="17"/>
    </row>
    <row r="358">
      <c r="A358" s="17"/>
      <c r="B358" s="17"/>
      <c r="C358" s="17"/>
      <c r="D358" s="17"/>
      <c r="E358" s="17"/>
      <c r="F358" s="295"/>
      <c r="G358" s="17"/>
      <c r="H358" s="17"/>
    </row>
    <row r="359">
      <c r="A359" s="17"/>
      <c r="B359" s="17"/>
      <c r="C359" s="17"/>
      <c r="D359" s="17"/>
      <c r="E359" s="17"/>
      <c r="F359" s="295"/>
      <c r="G359" s="17"/>
      <c r="H359" s="17"/>
    </row>
    <row r="360">
      <c r="A360" s="17"/>
      <c r="B360" s="17"/>
      <c r="C360" s="17"/>
      <c r="D360" s="17"/>
      <c r="E360" s="17"/>
      <c r="F360" s="295"/>
      <c r="G360" s="17"/>
      <c r="H360" s="17"/>
    </row>
    <row r="361">
      <c r="A361" s="17"/>
      <c r="B361" s="17"/>
      <c r="C361" s="17"/>
      <c r="D361" s="17"/>
      <c r="E361" s="17"/>
      <c r="F361" s="295"/>
      <c r="G361" s="17"/>
      <c r="H361" s="17"/>
    </row>
    <row r="362">
      <c r="A362" s="17"/>
      <c r="B362" s="17"/>
      <c r="C362" s="17"/>
      <c r="D362" s="17"/>
      <c r="E362" s="17"/>
      <c r="F362" s="295"/>
      <c r="G362" s="17"/>
      <c r="H362" s="17"/>
    </row>
    <row r="363">
      <c r="A363" s="17"/>
      <c r="B363" s="17"/>
      <c r="C363" s="17"/>
      <c r="D363" s="17"/>
      <c r="E363" s="17"/>
      <c r="F363" s="295"/>
      <c r="G363" s="17"/>
      <c r="H363" s="17"/>
    </row>
    <row r="364">
      <c r="A364" s="17"/>
      <c r="B364" s="17"/>
      <c r="C364" s="17"/>
      <c r="D364" s="17"/>
      <c r="E364" s="17"/>
      <c r="F364" s="295"/>
      <c r="G364" s="17"/>
      <c r="H364" s="17"/>
    </row>
    <row r="365">
      <c r="A365" s="17"/>
      <c r="B365" s="17"/>
      <c r="C365" s="17"/>
      <c r="D365" s="17"/>
      <c r="E365" s="17"/>
      <c r="F365" s="295"/>
      <c r="G365" s="17"/>
      <c r="H365" s="17"/>
    </row>
    <row r="366">
      <c r="A366" s="17"/>
      <c r="B366" s="17"/>
      <c r="C366" s="17"/>
      <c r="D366" s="17"/>
      <c r="E366" s="17"/>
      <c r="F366" s="295"/>
      <c r="G366" s="17"/>
      <c r="H366" s="17"/>
    </row>
    <row r="367">
      <c r="A367" s="17"/>
      <c r="B367" s="17"/>
      <c r="C367" s="17"/>
      <c r="D367" s="17"/>
      <c r="E367" s="17"/>
      <c r="F367" s="295"/>
      <c r="G367" s="17"/>
      <c r="H367" s="17"/>
    </row>
    <row r="368">
      <c r="A368" s="17"/>
      <c r="B368" s="17"/>
      <c r="C368" s="17"/>
      <c r="D368" s="17"/>
      <c r="E368" s="17"/>
      <c r="F368" s="295"/>
      <c r="G368" s="17"/>
      <c r="H368" s="17"/>
    </row>
    <row r="369">
      <c r="A369" s="17"/>
      <c r="B369" s="17"/>
      <c r="C369" s="17"/>
      <c r="D369" s="17"/>
      <c r="E369" s="17"/>
      <c r="F369" s="295"/>
      <c r="G369" s="17"/>
      <c r="H369" s="17"/>
    </row>
    <row r="370">
      <c r="A370" s="17"/>
      <c r="B370" s="17"/>
      <c r="C370" s="17"/>
      <c r="D370" s="17"/>
      <c r="E370" s="17"/>
      <c r="F370" s="295"/>
      <c r="G370" s="17"/>
      <c r="H370" s="17"/>
    </row>
    <row r="371">
      <c r="A371" s="17"/>
      <c r="B371" s="17"/>
      <c r="C371" s="17"/>
      <c r="D371" s="17"/>
      <c r="E371" s="17"/>
      <c r="F371" s="295"/>
      <c r="G371" s="17"/>
      <c r="H371" s="17"/>
    </row>
    <row r="372">
      <c r="A372" s="17"/>
      <c r="B372" s="17"/>
      <c r="C372" s="17"/>
      <c r="D372" s="17"/>
      <c r="E372" s="17"/>
      <c r="F372" s="295"/>
      <c r="G372" s="17"/>
      <c r="H372" s="17"/>
    </row>
    <row r="373">
      <c r="A373" s="17"/>
      <c r="B373" s="17"/>
      <c r="C373" s="17"/>
      <c r="D373" s="17"/>
      <c r="E373" s="17"/>
      <c r="F373" s="295"/>
      <c r="G373" s="17"/>
      <c r="H373" s="17"/>
    </row>
    <row r="374">
      <c r="A374" s="17"/>
      <c r="B374" s="17"/>
      <c r="C374" s="17"/>
      <c r="D374" s="17"/>
      <c r="E374" s="17"/>
      <c r="F374" s="295"/>
      <c r="G374" s="17"/>
      <c r="H374" s="17"/>
    </row>
    <row r="375">
      <c r="A375" s="17"/>
      <c r="B375" s="17"/>
      <c r="C375" s="17"/>
      <c r="D375" s="17"/>
      <c r="E375" s="17"/>
      <c r="F375" s="295"/>
      <c r="G375" s="17"/>
      <c r="H375" s="17"/>
    </row>
    <row r="376">
      <c r="A376" s="17"/>
      <c r="B376" s="17"/>
      <c r="C376" s="17"/>
      <c r="D376" s="17"/>
      <c r="E376" s="17"/>
      <c r="F376" s="295"/>
      <c r="G376" s="17"/>
      <c r="H376" s="17"/>
    </row>
    <row r="377">
      <c r="A377" s="17"/>
      <c r="B377" s="17"/>
      <c r="C377" s="17"/>
      <c r="D377" s="17"/>
      <c r="E377" s="17"/>
      <c r="F377" s="295"/>
      <c r="G377" s="17"/>
      <c r="H377" s="17"/>
    </row>
    <row r="378">
      <c r="A378" s="17"/>
      <c r="B378" s="17"/>
      <c r="C378" s="17"/>
      <c r="D378" s="17"/>
      <c r="E378" s="17"/>
      <c r="F378" s="295"/>
      <c r="G378" s="17"/>
      <c r="H378" s="17"/>
    </row>
    <row r="379">
      <c r="A379" s="17"/>
      <c r="B379" s="17"/>
      <c r="C379" s="17"/>
      <c r="D379" s="17"/>
      <c r="E379" s="17"/>
      <c r="F379" s="295"/>
      <c r="G379" s="17"/>
      <c r="H379" s="17"/>
    </row>
    <row r="380">
      <c r="A380" s="17"/>
      <c r="B380" s="17"/>
      <c r="C380" s="17"/>
      <c r="D380" s="17"/>
      <c r="E380" s="17"/>
      <c r="F380" s="295"/>
      <c r="G380" s="17"/>
      <c r="H380" s="17"/>
    </row>
    <row r="381">
      <c r="A381" s="17"/>
      <c r="B381" s="17"/>
      <c r="C381" s="17"/>
      <c r="D381" s="17"/>
      <c r="E381" s="17"/>
      <c r="F381" s="295"/>
      <c r="G381" s="17"/>
      <c r="H381" s="17"/>
    </row>
    <row r="382">
      <c r="A382" s="17"/>
      <c r="B382" s="17"/>
      <c r="C382" s="17"/>
      <c r="D382" s="17"/>
      <c r="E382" s="17"/>
      <c r="F382" s="295"/>
      <c r="G382" s="17"/>
      <c r="H382" s="17"/>
    </row>
    <row r="383">
      <c r="A383" s="17"/>
      <c r="B383" s="17"/>
      <c r="C383" s="17"/>
      <c r="D383" s="17"/>
      <c r="E383" s="17"/>
      <c r="F383" s="295"/>
      <c r="G383" s="17"/>
      <c r="H383" s="17"/>
    </row>
    <row r="384">
      <c r="A384" s="17"/>
      <c r="B384" s="17"/>
      <c r="C384" s="17"/>
      <c r="D384" s="17"/>
      <c r="E384" s="17"/>
      <c r="F384" s="295"/>
      <c r="G384" s="17"/>
      <c r="H384" s="17"/>
    </row>
    <row r="385">
      <c r="A385" s="17"/>
      <c r="B385" s="17"/>
      <c r="C385" s="17"/>
      <c r="D385" s="17"/>
      <c r="E385" s="17"/>
      <c r="F385" s="295"/>
      <c r="G385" s="17"/>
      <c r="H385" s="17"/>
    </row>
    <row r="386">
      <c r="A386" s="17"/>
      <c r="B386" s="17"/>
      <c r="C386" s="17"/>
      <c r="D386" s="17"/>
      <c r="E386" s="17"/>
      <c r="F386" s="295"/>
      <c r="G386" s="17"/>
      <c r="H386" s="17"/>
    </row>
    <row r="387">
      <c r="A387" s="17"/>
      <c r="B387" s="17"/>
      <c r="C387" s="17"/>
      <c r="D387" s="17"/>
      <c r="E387" s="17"/>
      <c r="F387" s="295"/>
      <c r="G387" s="17"/>
      <c r="H387" s="17"/>
    </row>
    <row r="388">
      <c r="A388" s="17"/>
      <c r="B388" s="17"/>
      <c r="C388" s="17"/>
      <c r="D388" s="17"/>
      <c r="E388" s="17"/>
      <c r="F388" s="295"/>
      <c r="G388" s="17"/>
      <c r="H388" s="17"/>
    </row>
    <row r="389">
      <c r="A389" s="17"/>
      <c r="B389" s="17"/>
      <c r="C389" s="17"/>
      <c r="D389" s="17"/>
      <c r="E389" s="17"/>
      <c r="F389" s="295"/>
      <c r="G389" s="17"/>
      <c r="H389" s="17"/>
    </row>
    <row r="390">
      <c r="A390" s="17"/>
      <c r="B390" s="17"/>
      <c r="C390" s="17"/>
      <c r="D390" s="17"/>
      <c r="E390" s="17"/>
      <c r="F390" s="295"/>
      <c r="G390" s="17"/>
      <c r="H390" s="17"/>
    </row>
    <row r="391">
      <c r="A391" s="17"/>
      <c r="B391" s="17"/>
      <c r="C391" s="17"/>
      <c r="D391" s="17"/>
      <c r="E391" s="17"/>
      <c r="F391" s="295"/>
      <c r="G391" s="17"/>
      <c r="H391" s="17"/>
    </row>
    <row r="392">
      <c r="A392" s="17"/>
      <c r="B392" s="17"/>
      <c r="C392" s="17"/>
      <c r="D392" s="17"/>
      <c r="E392" s="17"/>
      <c r="F392" s="295"/>
      <c r="G392" s="17"/>
      <c r="H392" s="17"/>
    </row>
    <row r="393">
      <c r="A393" s="17"/>
      <c r="B393" s="17"/>
      <c r="C393" s="17"/>
      <c r="D393" s="17"/>
      <c r="E393" s="17"/>
      <c r="F393" s="295"/>
      <c r="G393" s="17"/>
      <c r="H393" s="17"/>
    </row>
    <row r="394">
      <c r="A394" s="17"/>
      <c r="B394" s="17"/>
      <c r="C394" s="17"/>
      <c r="D394" s="17"/>
      <c r="E394" s="17"/>
      <c r="F394" s="295"/>
      <c r="G394" s="17"/>
      <c r="H394" s="17"/>
    </row>
    <row r="395">
      <c r="A395" s="17"/>
      <c r="B395" s="17"/>
      <c r="C395" s="17"/>
      <c r="D395" s="17"/>
      <c r="E395" s="17"/>
      <c r="F395" s="295"/>
      <c r="G395" s="17"/>
      <c r="H395" s="17"/>
    </row>
    <row r="396">
      <c r="A396" s="17"/>
      <c r="B396" s="17"/>
      <c r="C396" s="17"/>
      <c r="D396" s="17"/>
      <c r="E396" s="17"/>
      <c r="F396" s="295"/>
      <c r="G396" s="17"/>
      <c r="H396" s="17"/>
    </row>
    <row r="397">
      <c r="A397" s="17"/>
      <c r="B397" s="17"/>
      <c r="C397" s="17"/>
      <c r="D397" s="17"/>
      <c r="E397" s="17"/>
      <c r="F397" s="295"/>
      <c r="G397" s="17"/>
      <c r="H397" s="17"/>
    </row>
    <row r="398">
      <c r="A398" s="17"/>
      <c r="B398" s="17"/>
      <c r="C398" s="17"/>
      <c r="D398" s="17"/>
      <c r="E398" s="17"/>
      <c r="F398" s="295"/>
      <c r="G398" s="17"/>
      <c r="H398" s="17"/>
    </row>
    <row r="399">
      <c r="A399" s="17"/>
      <c r="B399" s="17"/>
      <c r="C399" s="17"/>
      <c r="D399" s="17"/>
      <c r="E399" s="17"/>
      <c r="F399" s="295"/>
      <c r="G399" s="17"/>
      <c r="H399" s="17"/>
    </row>
    <row r="400">
      <c r="A400" s="17"/>
      <c r="B400" s="17"/>
      <c r="C400" s="17"/>
      <c r="D400" s="17"/>
      <c r="E400" s="17"/>
      <c r="F400" s="295"/>
      <c r="G400" s="17"/>
      <c r="H400" s="17"/>
    </row>
    <row r="401">
      <c r="A401" s="17"/>
      <c r="B401" s="17"/>
      <c r="C401" s="17"/>
      <c r="D401" s="17"/>
      <c r="E401" s="17"/>
      <c r="F401" s="295"/>
      <c r="G401" s="17"/>
      <c r="H401" s="17"/>
    </row>
    <row r="402">
      <c r="A402" s="17"/>
      <c r="B402" s="17"/>
      <c r="C402" s="17"/>
      <c r="D402" s="17"/>
      <c r="E402" s="17"/>
      <c r="F402" s="295"/>
      <c r="G402" s="17"/>
      <c r="H402" s="17"/>
    </row>
    <row r="403">
      <c r="A403" s="17"/>
      <c r="B403" s="17"/>
      <c r="C403" s="17"/>
      <c r="D403" s="17"/>
      <c r="E403" s="17"/>
      <c r="F403" s="295"/>
      <c r="G403" s="17"/>
      <c r="H403" s="17"/>
    </row>
    <row r="404">
      <c r="A404" s="17"/>
      <c r="B404" s="17"/>
      <c r="C404" s="17"/>
      <c r="D404" s="17"/>
      <c r="E404" s="17"/>
      <c r="F404" s="295"/>
      <c r="G404" s="17"/>
      <c r="H404" s="17"/>
    </row>
    <row r="405">
      <c r="A405" s="17"/>
      <c r="B405" s="17"/>
      <c r="C405" s="17"/>
      <c r="D405" s="17"/>
      <c r="E405" s="17"/>
      <c r="F405" s="295"/>
      <c r="G405" s="17"/>
      <c r="H405" s="17"/>
    </row>
    <row r="406">
      <c r="A406" s="17"/>
      <c r="B406" s="17"/>
      <c r="C406" s="17"/>
      <c r="D406" s="17"/>
      <c r="E406" s="17"/>
      <c r="F406" s="295"/>
      <c r="G406" s="17"/>
      <c r="H406" s="17"/>
    </row>
    <row r="407">
      <c r="A407" s="17"/>
      <c r="B407" s="17"/>
      <c r="C407" s="17"/>
      <c r="D407" s="17"/>
      <c r="E407" s="17"/>
      <c r="F407" s="295"/>
      <c r="G407" s="17"/>
      <c r="H407" s="17"/>
    </row>
    <row r="408">
      <c r="A408" s="17"/>
      <c r="B408" s="17"/>
      <c r="C408" s="17"/>
      <c r="D408" s="17"/>
      <c r="E408" s="17"/>
      <c r="F408" s="295"/>
      <c r="G408" s="17"/>
      <c r="H408" s="17"/>
    </row>
    <row r="409">
      <c r="A409" s="17"/>
      <c r="B409" s="17"/>
      <c r="C409" s="17"/>
      <c r="D409" s="17"/>
      <c r="E409" s="17"/>
      <c r="F409" s="295"/>
      <c r="G409" s="17"/>
      <c r="H409" s="17"/>
    </row>
    <row r="410">
      <c r="A410" s="17"/>
      <c r="B410" s="17"/>
      <c r="C410" s="17"/>
      <c r="D410" s="17"/>
      <c r="E410" s="17"/>
      <c r="F410" s="295"/>
      <c r="G410" s="17"/>
      <c r="H410" s="17"/>
    </row>
    <row r="411">
      <c r="A411" s="17"/>
      <c r="B411" s="17"/>
      <c r="C411" s="17"/>
      <c r="D411" s="17"/>
      <c r="E411" s="17"/>
      <c r="F411" s="295"/>
      <c r="G411" s="17"/>
      <c r="H411" s="17"/>
    </row>
    <row r="412">
      <c r="A412" s="17"/>
      <c r="B412" s="17"/>
      <c r="C412" s="17"/>
      <c r="D412" s="17"/>
      <c r="E412" s="17"/>
      <c r="F412" s="295"/>
      <c r="G412" s="17"/>
      <c r="H412" s="17"/>
    </row>
    <row r="413">
      <c r="A413" s="17"/>
      <c r="B413" s="17"/>
      <c r="C413" s="17"/>
      <c r="D413" s="17"/>
      <c r="E413" s="17"/>
      <c r="F413" s="295"/>
      <c r="G413" s="17"/>
      <c r="H413" s="17"/>
    </row>
    <row r="414">
      <c r="A414" s="17"/>
      <c r="B414" s="17"/>
      <c r="C414" s="17"/>
      <c r="D414" s="17"/>
      <c r="E414" s="17"/>
      <c r="F414" s="295"/>
      <c r="G414" s="17"/>
      <c r="H414" s="17"/>
    </row>
    <row r="415">
      <c r="A415" s="17"/>
      <c r="B415" s="17"/>
      <c r="C415" s="17"/>
      <c r="D415" s="17"/>
      <c r="E415" s="17"/>
      <c r="F415" s="295"/>
      <c r="G415" s="17"/>
      <c r="H415" s="17"/>
    </row>
    <row r="416">
      <c r="A416" s="17"/>
      <c r="B416" s="17"/>
      <c r="C416" s="17"/>
      <c r="D416" s="17"/>
      <c r="E416" s="17"/>
      <c r="F416" s="295"/>
      <c r="G416" s="17"/>
      <c r="H416" s="17"/>
    </row>
    <row r="417">
      <c r="A417" s="17"/>
      <c r="B417" s="17"/>
      <c r="C417" s="17"/>
      <c r="D417" s="17"/>
      <c r="E417" s="17"/>
      <c r="F417" s="295"/>
      <c r="G417" s="17"/>
      <c r="H417" s="17"/>
    </row>
    <row r="418">
      <c r="A418" s="17"/>
      <c r="B418" s="17"/>
      <c r="C418" s="17"/>
      <c r="D418" s="17"/>
      <c r="E418" s="17"/>
      <c r="F418" s="295"/>
      <c r="G418" s="17"/>
      <c r="H418" s="17"/>
    </row>
    <row r="419">
      <c r="A419" s="17"/>
      <c r="B419" s="17"/>
      <c r="C419" s="17"/>
      <c r="D419" s="17"/>
      <c r="E419" s="17"/>
      <c r="F419" s="295"/>
      <c r="G419" s="17"/>
      <c r="H419" s="17"/>
    </row>
    <row r="420">
      <c r="A420" s="17"/>
      <c r="B420" s="17"/>
      <c r="C420" s="17"/>
      <c r="D420" s="17"/>
      <c r="E420" s="17"/>
      <c r="F420" s="295"/>
      <c r="G420" s="17"/>
      <c r="H420" s="17"/>
    </row>
    <row r="421">
      <c r="A421" s="17"/>
      <c r="B421" s="17"/>
      <c r="C421" s="17"/>
      <c r="D421" s="17"/>
      <c r="E421" s="17"/>
      <c r="F421" s="295"/>
      <c r="G421" s="17"/>
      <c r="H421" s="17"/>
    </row>
    <row r="422">
      <c r="A422" s="17"/>
      <c r="B422" s="17"/>
      <c r="C422" s="17"/>
      <c r="D422" s="17"/>
      <c r="E422" s="17"/>
      <c r="F422" s="295"/>
      <c r="G422" s="17"/>
      <c r="H422" s="17"/>
    </row>
    <row r="423">
      <c r="A423" s="17"/>
      <c r="B423" s="17"/>
      <c r="C423" s="17"/>
      <c r="D423" s="17"/>
      <c r="E423" s="17"/>
      <c r="F423" s="295"/>
      <c r="G423" s="17"/>
      <c r="H423" s="17"/>
    </row>
    <row r="424">
      <c r="A424" s="17"/>
      <c r="B424" s="17"/>
      <c r="C424" s="17"/>
      <c r="D424" s="17"/>
      <c r="E424" s="17"/>
      <c r="F424" s="295"/>
      <c r="G424" s="17"/>
      <c r="H424" s="17"/>
    </row>
    <row r="425">
      <c r="A425" s="17"/>
      <c r="B425" s="17"/>
      <c r="C425" s="17"/>
      <c r="D425" s="17"/>
      <c r="E425" s="17"/>
      <c r="F425" s="295"/>
      <c r="G425" s="17"/>
      <c r="H425" s="17"/>
    </row>
    <row r="426">
      <c r="A426" s="17"/>
      <c r="B426" s="17"/>
      <c r="C426" s="17"/>
      <c r="D426" s="17"/>
      <c r="E426" s="17"/>
      <c r="F426" s="295"/>
      <c r="G426" s="17"/>
      <c r="H426" s="17"/>
    </row>
    <row r="427">
      <c r="A427" s="17"/>
      <c r="B427" s="17"/>
      <c r="C427" s="17"/>
      <c r="D427" s="17"/>
      <c r="E427" s="17"/>
      <c r="F427" s="295"/>
      <c r="G427" s="17"/>
      <c r="H427" s="17"/>
    </row>
    <row r="428">
      <c r="A428" s="17"/>
      <c r="B428" s="17"/>
      <c r="C428" s="17"/>
      <c r="D428" s="17"/>
      <c r="E428" s="17"/>
      <c r="F428" s="295"/>
      <c r="G428" s="17"/>
      <c r="H428" s="17"/>
    </row>
    <row r="429">
      <c r="A429" s="17"/>
      <c r="B429" s="17"/>
      <c r="C429" s="17"/>
      <c r="D429" s="17"/>
      <c r="E429" s="17"/>
      <c r="F429" s="295"/>
      <c r="G429" s="17"/>
      <c r="H429" s="17"/>
    </row>
    <row r="430">
      <c r="A430" s="17"/>
      <c r="B430" s="17"/>
      <c r="C430" s="17"/>
      <c r="D430" s="17"/>
      <c r="E430" s="17"/>
      <c r="F430" s="295"/>
      <c r="G430" s="17"/>
      <c r="H430" s="17"/>
    </row>
    <row r="431">
      <c r="A431" s="17"/>
      <c r="B431" s="17"/>
      <c r="C431" s="17"/>
      <c r="D431" s="17"/>
      <c r="E431" s="17"/>
      <c r="F431" s="295"/>
      <c r="G431" s="17"/>
      <c r="H431" s="17"/>
    </row>
    <row r="432">
      <c r="A432" s="17"/>
      <c r="B432" s="17"/>
      <c r="C432" s="17"/>
      <c r="D432" s="17"/>
      <c r="E432" s="17"/>
      <c r="F432" s="295"/>
      <c r="G432" s="17"/>
      <c r="H432" s="17"/>
    </row>
    <row r="433">
      <c r="A433" s="17"/>
      <c r="B433" s="17"/>
      <c r="C433" s="17"/>
      <c r="D433" s="17"/>
      <c r="E433" s="17"/>
      <c r="F433" s="295"/>
      <c r="G433" s="17"/>
      <c r="H433" s="17"/>
    </row>
    <row r="434">
      <c r="A434" s="17"/>
      <c r="B434" s="17"/>
      <c r="C434" s="17"/>
      <c r="D434" s="17"/>
      <c r="E434" s="17"/>
      <c r="F434" s="295"/>
      <c r="G434" s="17"/>
      <c r="H434" s="17"/>
    </row>
    <row r="435">
      <c r="A435" s="17"/>
      <c r="B435" s="17"/>
      <c r="C435" s="17"/>
      <c r="D435" s="17"/>
      <c r="E435" s="17"/>
      <c r="F435" s="295"/>
      <c r="G435" s="17"/>
      <c r="H435" s="17"/>
    </row>
    <row r="436">
      <c r="A436" s="17"/>
      <c r="B436" s="17"/>
      <c r="C436" s="17"/>
      <c r="D436" s="17"/>
      <c r="E436" s="17"/>
      <c r="F436" s="295"/>
      <c r="G436" s="17"/>
      <c r="H436" s="17"/>
    </row>
    <row r="437">
      <c r="A437" s="17"/>
      <c r="B437" s="17"/>
      <c r="C437" s="17"/>
      <c r="D437" s="17"/>
      <c r="E437" s="17"/>
      <c r="F437" s="295"/>
      <c r="G437" s="17"/>
      <c r="H437" s="17"/>
    </row>
    <row r="438">
      <c r="A438" s="17"/>
      <c r="B438" s="17"/>
      <c r="C438" s="17"/>
      <c r="D438" s="17"/>
      <c r="E438" s="17"/>
      <c r="F438" s="295"/>
      <c r="G438" s="17"/>
      <c r="H438" s="17"/>
    </row>
    <row r="439">
      <c r="A439" s="17"/>
      <c r="B439" s="17"/>
      <c r="C439" s="17"/>
      <c r="D439" s="17"/>
      <c r="E439" s="17"/>
      <c r="F439" s="295"/>
      <c r="G439" s="17"/>
      <c r="H439" s="17"/>
    </row>
    <row r="440">
      <c r="A440" s="17"/>
      <c r="B440" s="17"/>
      <c r="C440" s="17"/>
      <c r="D440" s="17"/>
      <c r="E440" s="17"/>
      <c r="F440" s="295"/>
      <c r="G440" s="17"/>
      <c r="H440" s="17"/>
    </row>
    <row r="441">
      <c r="A441" s="17"/>
      <c r="B441" s="17"/>
      <c r="C441" s="17"/>
      <c r="D441" s="17"/>
      <c r="E441" s="17"/>
      <c r="F441" s="295"/>
      <c r="G441" s="17"/>
      <c r="H441" s="17"/>
    </row>
    <row r="442">
      <c r="A442" s="17"/>
      <c r="B442" s="17"/>
      <c r="C442" s="17"/>
      <c r="D442" s="17"/>
      <c r="E442" s="17"/>
      <c r="F442" s="295"/>
      <c r="G442" s="17"/>
      <c r="H442" s="17"/>
    </row>
    <row r="443">
      <c r="A443" s="17"/>
      <c r="B443" s="17"/>
      <c r="C443" s="17"/>
      <c r="D443" s="17"/>
      <c r="E443" s="17"/>
      <c r="F443" s="295"/>
      <c r="G443" s="17"/>
      <c r="H443" s="17"/>
    </row>
    <row r="444">
      <c r="A444" s="17"/>
      <c r="B444" s="17"/>
      <c r="C444" s="17"/>
      <c r="D444" s="17"/>
      <c r="E444" s="17"/>
      <c r="F444" s="295"/>
      <c r="G444" s="17"/>
      <c r="H444" s="17"/>
    </row>
    <row r="445">
      <c r="A445" s="17"/>
      <c r="B445" s="17"/>
      <c r="C445" s="17"/>
      <c r="D445" s="17"/>
      <c r="E445" s="17"/>
      <c r="F445" s="295"/>
      <c r="G445" s="17"/>
      <c r="H445" s="17"/>
    </row>
    <row r="446">
      <c r="A446" s="17"/>
      <c r="B446" s="17"/>
      <c r="C446" s="17"/>
      <c r="D446" s="17"/>
      <c r="E446" s="17"/>
      <c r="F446" s="295"/>
      <c r="G446" s="17"/>
      <c r="H446" s="17"/>
    </row>
    <row r="447">
      <c r="A447" s="17"/>
      <c r="B447" s="17"/>
      <c r="C447" s="17"/>
      <c r="D447" s="17"/>
      <c r="E447" s="17"/>
      <c r="F447" s="295"/>
      <c r="G447" s="17"/>
      <c r="H447" s="17"/>
    </row>
    <row r="448">
      <c r="A448" s="17"/>
      <c r="B448" s="17"/>
      <c r="C448" s="17"/>
      <c r="D448" s="17"/>
      <c r="E448" s="17"/>
      <c r="F448" s="295"/>
      <c r="G448" s="17"/>
      <c r="H448" s="17"/>
    </row>
    <row r="449">
      <c r="A449" s="17"/>
      <c r="B449" s="17"/>
      <c r="C449" s="17"/>
      <c r="D449" s="17"/>
      <c r="E449" s="17"/>
      <c r="F449" s="295"/>
      <c r="G449" s="17"/>
      <c r="H449" s="17"/>
    </row>
    <row r="450">
      <c r="A450" s="17"/>
      <c r="B450" s="17"/>
      <c r="C450" s="17"/>
      <c r="D450" s="17"/>
      <c r="E450" s="17"/>
      <c r="F450" s="295"/>
      <c r="G450" s="17"/>
      <c r="H450" s="17"/>
    </row>
    <row r="451">
      <c r="A451" s="17"/>
      <c r="B451" s="17"/>
      <c r="C451" s="17"/>
      <c r="D451" s="17"/>
      <c r="E451" s="17"/>
      <c r="F451" s="295"/>
      <c r="G451" s="17"/>
      <c r="H451" s="17"/>
    </row>
    <row r="452">
      <c r="A452" s="17"/>
      <c r="B452" s="17"/>
      <c r="C452" s="17"/>
      <c r="D452" s="17"/>
      <c r="E452" s="17"/>
      <c r="F452" s="295"/>
      <c r="G452" s="17"/>
      <c r="H452" s="17"/>
    </row>
    <row r="453">
      <c r="A453" s="17"/>
      <c r="B453" s="17"/>
      <c r="C453" s="17"/>
      <c r="D453" s="17"/>
      <c r="E453" s="17"/>
      <c r="F453" s="295"/>
      <c r="G453" s="17"/>
      <c r="H453" s="17"/>
    </row>
    <row r="454">
      <c r="A454" s="17"/>
      <c r="B454" s="17"/>
      <c r="C454" s="17"/>
      <c r="D454" s="17"/>
      <c r="E454" s="17"/>
      <c r="F454" s="295"/>
      <c r="G454" s="17"/>
      <c r="H454" s="17"/>
    </row>
    <row r="455">
      <c r="A455" s="17"/>
      <c r="B455" s="17"/>
      <c r="C455" s="17"/>
      <c r="D455" s="17"/>
      <c r="E455" s="17"/>
      <c r="F455" s="295"/>
      <c r="G455" s="17"/>
      <c r="H455" s="17"/>
    </row>
    <row r="456">
      <c r="A456" s="17"/>
      <c r="B456" s="17"/>
      <c r="C456" s="17"/>
      <c r="D456" s="17"/>
      <c r="E456" s="17"/>
      <c r="F456" s="295"/>
      <c r="G456" s="17"/>
      <c r="H456" s="17"/>
    </row>
    <row r="457">
      <c r="A457" s="17"/>
      <c r="B457" s="17"/>
      <c r="C457" s="17"/>
      <c r="D457" s="17"/>
      <c r="E457" s="17"/>
      <c r="F457" s="295"/>
      <c r="G457" s="17"/>
      <c r="H457" s="17"/>
    </row>
    <row r="458">
      <c r="A458" s="17"/>
      <c r="B458" s="17"/>
      <c r="C458" s="17"/>
      <c r="D458" s="17"/>
      <c r="E458" s="17"/>
      <c r="F458" s="295"/>
      <c r="G458" s="17"/>
      <c r="H458" s="17"/>
    </row>
    <row r="459">
      <c r="A459" s="17"/>
      <c r="B459" s="17"/>
      <c r="C459" s="17"/>
      <c r="D459" s="17"/>
      <c r="E459" s="17"/>
      <c r="F459" s="295"/>
      <c r="G459" s="17"/>
      <c r="H459" s="17"/>
    </row>
    <row r="460">
      <c r="A460" s="17"/>
      <c r="B460" s="17"/>
      <c r="C460" s="17"/>
      <c r="D460" s="17"/>
      <c r="E460" s="17"/>
      <c r="F460" s="295"/>
      <c r="G460" s="17"/>
      <c r="H460" s="17"/>
    </row>
    <row r="461">
      <c r="A461" s="17"/>
      <c r="B461" s="17"/>
      <c r="C461" s="17"/>
      <c r="D461" s="17"/>
      <c r="E461" s="17"/>
      <c r="F461" s="295"/>
      <c r="G461" s="17"/>
      <c r="H461" s="17"/>
    </row>
    <row r="462">
      <c r="A462" s="17"/>
      <c r="B462" s="17"/>
      <c r="C462" s="17"/>
      <c r="D462" s="17"/>
      <c r="E462" s="17"/>
      <c r="F462" s="295"/>
      <c r="G462" s="17"/>
      <c r="H462" s="17"/>
    </row>
    <row r="463">
      <c r="A463" s="17"/>
      <c r="B463" s="17"/>
      <c r="C463" s="17"/>
      <c r="D463" s="17"/>
      <c r="E463" s="17"/>
      <c r="F463" s="295"/>
      <c r="G463" s="17"/>
      <c r="H463" s="17"/>
    </row>
    <row r="464">
      <c r="A464" s="17"/>
      <c r="B464" s="17"/>
      <c r="C464" s="17"/>
      <c r="D464" s="17"/>
      <c r="E464" s="17"/>
      <c r="F464" s="295"/>
      <c r="G464" s="17"/>
      <c r="H464" s="17"/>
    </row>
    <row r="465">
      <c r="A465" s="17"/>
      <c r="B465" s="17"/>
      <c r="C465" s="17"/>
      <c r="D465" s="17"/>
      <c r="E465" s="17"/>
      <c r="F465" s="295"/>
      <c r="G465" s="17"/>
      <c r="H465" s="17"/>
    </row>
    <row r="466">
      <c r="A466" s="17"/>
      <c r="B466" s="17"/>
      <c r="C466" s="17"/>
      <c r="D466" s="17"/>
      <c r="E466" s="17"/>
      <c r="F466" s="295"/>
      <c r="G466" s="17"/>
      <c r="H466" s="17"/>
    </row>
    <row r="467">
      <c r="A467" s="17"/>
      <c r="B467" s="17"/>
      <c r="C467" s="17"/>
      <c r="D467" s="17"/>
      <c r="E467" s="17"/>
      <c r="F467" s="295"/>
      <c r="G467" s="17"/>
      <c r="H467" s="17"/>
    </row>
    <row r="468">
      <c r="A468" s="17"/>
      <c r="B468" s="17"/>
      <c r="C468" s="17"/>
      <c r="D468" s="17"/>
      <c r="E468" s="17"/>
      <c r="F468" s="295"/>
      <c r="G468" s="17"/>
      <c r="H468" s="17"/>
    </row>
    <row r="469">
      <c r="A469" s="17"/>
      <c r="B469" s="17"/>
      <c r="C469" s="17"/>
      <c r="D469" s="17"/>
      <c r="E469" s="17"/>
      <c r="F469" s="295"/>
      <c r="G469" s="17"/>
      <c r="H469" s="17"/>
    </row>
    <row r="470">
      <c r="A470" s="17"/>
      <c r="B470" s="17"/>
      <c r="C470" s="17"/>
      <c r="D470" s="17"/>
      <c r="E470" s="17"/>
      <c r="F470" s="295"/>
      <c r="G470" s="17"/>
      <c r="H470" s="17"/>
    </row>
    <row r="471">
      <c r="A471" s="17"/>
      <c r="B471" s="17"/>
      <c r="C471" s="17"/>
      <c r="D471" s="17"/>
      <c r="E471" s="17"/>
      <c r="F471" s="295"/>
      <c r="G471" s="17"/>
      <c r="H471" s="17"/>
    </row>
    <row r="472">
      <c r="A472" s="17"/>
      <c r="B472" s="17"/>
      <c r="C472" s="17"/>
      <c r="D472" s="17"/>
      <c r="E472" s="17"/>
      <c r="F472" s="295"/>
      <c r="G472" s="17"/>
      <c r="H472" s="17"/>
    </row>
    <row r="473">
      <c r="A473" s="17"/>
      <c r="B473" s="17"/>
      <c r="C473" s="17"/>
      <c r="D473" s="17"/>
      <c r="E473" s="17"/>
      <c r="F473" s="295"/>
      <c r="G473" s="17"/>
      <c r="H473" s="17"/>
    </row>
    <row r="474">
      <c r="A474" s="17"/>
      <c r="B474" s="17"/>
      <c r="C474" s="17"/>
      <c r="D474" s="17"/>
      <c r="E474" s="17"/>
      <c r="F474" s="295"/>
      <c r="G474" s="17"/>
      <c r="H474" s="17"/>
    </row>
    <row r="475">
      <c r="A475" s="17"/>
      <c r="B475" s="17"/>
      <c r="C475" s="17"/>
      <c r="D475" s="17"/>
      <c r="E475" s="17"/>
      <c r="F475" s="295"/>
      <c r="G475" s="17"/>
      <c r="H475" s="17"/>
    </row>
    <row r="476">
      <c r="A476" s="17"/>
      <c r="B476" s="17"/>
      <c r="C476" s="17"/>
      <c r="D476" s="17"/>
      <c r="E476" s="17"/>
      <c r="F476" s="295"/>
      <c r="G476" s="17"/>
      <c r="H476" s="17"/>
    </row>
    <row r="477">
      <c r="A477" s="17"/>
      <c r="B477" s="17"/>
      <c r="C477" s="17"/>
      <c r="D477" s="17"/>
      <c r="E477" s="17"/>
      <c r="F477" s="295"/>
      <c r="G477" s="17"/>
      <c r="H477" s="17"/>
    </row>
    <row r="478">
      <c r="A478" s="17"/>
      <c r="B478" s="17"/>
      <c r="C478" s="17"/>
      <c r="D478" s="17"/>
      <c r="E478" s="17"/>
      <c r="F478" s="295"/>
      <c r="G478" s="17"/>
      <c r="H478" s="17"/>
    </row>
    <row r="479">
      <c r="A479" s="17"/>
      <c r="B479" s="17"/>
      <c r="C479" s="17"/>
      <c r="D479" s="17"/>
      <c r="E479" s="17"/>
      <c r="F479" s="295"/>
      <c r="G479" s="17"/>
      <c r="H479" s="17"/>
    </row>
    <row r="480">
      <c r="A480" s="17"/>
      <c r="B480" s="17"/>
      <c r="C480" s="17"/>
      <c r="D480" s="17"/>
      <c r="E480" s="17"/>
      <c r="F480" s="295"/>
      <c r="G480" s="17"/>
      <c r="H480" s="17"/>
    </row>
    <row r="481">
      <c r="A481" s="17"/>
      <c r="B481" s="17"/>
      <c r="C481" s="17"/>
      <c r="D481" s="17"/>
      <c r="E481" s="17"/>
      <c r="F481" s="295"/>
      <c r="G481" s="17"/>
      <c r="H481" s="17"/>
    </row>
    <row r="482">
      <c r="A482" s="17"/>
      <c r="B482" s="17"/>
      <c r="C482" s="17"/>
      <c r="D482" s="17"/>
      <c r="E482" s="17"/>
      <c r="F482" s="295"/>
      <c r="G482" s="17"/>
      <c r="H482" s="17"/>
    </row>
    <row r="483">
      <c r="A483" s="17"/>
      <c r="B483" s="17"/>
      <c r="C483" s="17"/>
      <c r="D483" s="17"/>
      <c r="E483" s="17"/>
      <c r="F483" s="295"/>
      <c r="G483" s="17"/>
      <c r="H483" s="17"/>
    </row>
    <row r="484">
      <c r="A484" s="17"/>
      <c r="B484" s="17"/>
      <c r="C484" s="17"/>
      <c r="D484" s="17"/>
      <c r="E484" s="17"/>
      <c r="F484" s="295"/>
      <c r="G484" s="17"/>
      <c r="H484" s="17"/>
    </row>
    <row r="485">
      <c r="A485" s="17"/>
      <c r="B485" s="17"/>
      <c r="C485" s="17"/>
      <c r="D485" s="17"/>
      <c r="E485" s="17"/>
      <c r="F485" s="295"/>
      <c r="G485" s="17"/>
      <c r="H485" s="17"/>
    </row>
    <row r="486">
      <c r="A486" s="17"/>
      <c r="B486" s="17"/>
      <c r="C486" s="17"/>
      <c r="D486" s="17"/>
      <c r="E486" s="17"/>
      <c r="F486" s="295"/>
      <c r="G486" s="17"/>
      <c r="H486" s="17"/>
    </row>
    <row r="487">
      <c r="A487" s="17"/>
      <c r="B487" s="17"/>
      <c r="C487" s="17"/>
      <c r="D487" s="17"/>
      <c r="E487" s="17"/>
      <c r="F487" s="295"/>
      <c r="G487" s="17"/>
      <c r="H487" s="17"/>
    </row>
    <row r="488">
      <c r="A488" s="17"/>
      <c r="B488" s="17"/>
      <c r="C488" s="17"/>
      <c r="D488" s="17"/>
      <c r="E488" s="17"/>
      <c r="F488" s="295"/>
      <c r="G488" s="17"/>
      <c r="H488" s="17"/>
    </row>
    <row r="489">
      <c r="A489" s="17"/>
      <c r="B489" s="17"/>
      <c r="C489" s="17"/>
      <c r="D489" s="17"/>
      <c r="E489" s="17"/>
      <c r="F489" s="295"/>
      <c r="G489" s="17"/>
      <c r="H489" s="17"/>
    </row>
    <row r="490">
      <c r="A490" s="17"/>
      <c r="B490" s="17"/>
      <c r="C490" s="17"/>
      <c r="D490" s="17"/>
      <c r="E490" s="17"/>
      <c r="F490" s="295"/>
      <c r="G490" s="17"/>
      <c r="H490" s="17"/>
    </row>
    <row r="491">
      <c r="A491" s="17"/>
      <c r="B491" s="17"/>
      <c r="C491" s="17"/>
      <c r="D491" s="17"/>
      <c r="E491" s="17"/>
      <c r="F491" s="295"/>
      <c r="G491" s="17"/>
      <c r="H491" s="17"/>
    </row>
    <row r="492">
      <c r="A492" s="17"/>
      <c r="B492" s="17"/>
      <c r="C492" s="17"/>
      <c r="D492" s="17"/>
      <c r="E492" s="17"/>
      <c r="F492" s="295"/>
      <c r="G492" s="17"/>
      <c r="H492" s="17"/>
    </row>
    <row r="493">
      <c r="A493" s="17"/>
      <c r="B493" s="17"/>
      <c r="C493" s="17"/>
      <c r="D493" s="17"/>
      <c r="E493" s="17"/>
      <c r="F493" s="295"/>
      <c r="G493" s="17"/>
      <c r="H493" s="17"/>
    </row>
    <row r="494">
      <c r="A494" s="17"/>
      <c r="B494" s="17"/>
      <c r="C494" s="17"/>
      <c r="D494" s="17"/>
      <c r="E494" s="17"/>
      <c r="F494" s="295"/>
      <c r="G494" s="17"/>
      <c r="H494" s="17"/>
    </row>
    <row r="495">
      <c r="A495" s="17"/>
      <c r="B495" s="17"/>
      <c r="C495" s="17"/>
      <c r="D495" s="17"/>
      <c r="E495" s="17"/>
      <c r="F495" s="295"/>
      <c r="G495" s="17"/>
      <c r="H495" s="17"/>
    </row>
    <row r="496">
      <c r="A496" s="17"/>
      <c r="B496" s="17"/>
      <c r="C496" s="17"/>
      <c r="D496" s="17"/>
      <c r="E496" s="17"/>
      <c r="F496" s="295"/>
      <c r="G496" s="17"/>
      <c r="H496" s="17"/>
    </row>
    <row r="497">
      <c r="A497" s="17"/>
      <c r="B497" s="17"/>
      <c r="C497" s="17"/>
      <c r="D497" s="17"/>
      <c r="E497" s="17"/>
      <c r="F497" s="295"/>
      <c r="G497" s="17"/>
      <c r="H497" s="17"/>
    </row>
    <row r="498">
      <c r="A498" s="17"/>
      <c r="B498" s="17"/>
      <c r="C498" s="17"/>
      <c r="D498" s="17"/>
      <c r="E498" s="17"/>
      <c r="F498" s="295"/>
      <c r="G498" s="17"/>
      <c r="H498" s="17"/>
    </row>
    <row r="499">
      <c r="A499" s="17"/>
      <c r="B499" s="17"/>
      <c r="C499" s="17"/>
      <c r="D499" s="17"/>
      <c r="E499" s="17"/>
      <c r="F499" s="295"/>
      <c r="G499" s="17"/>
      <c r="H499" s="17"/>
    </row>
    <row r="500">
      <c r="A500" s="17"/>
      <c r="B500" s="17"/>
      <c r="C500" s="17"/>
      <c r="D500" s="17"/>
      <c r="E500" s="17"/>
      <c r="F500" s="295"/>
      <c r="G500" s="17"/>
      <c r="H500" s="17"/>
    </row>
    <row r="501">
      <c r="A501" s="17"/>
      <c r="B501" s="17"/>
      <c r="C501" s="17"/>
      <c r="D501" s="17"/>
      <c r="E501" s="17"/>
      <c r="F501" s="295"/>
      <c r="G501" s="17"/>
      <c r="H501" s="17"/>
    </row>
    <row r="502">
      <c r="A502" s="17"/>
      <c r="B502" s="17"/>
      <c r="C502" s="17"/>
      <c r="D502" s="17"/>
      <c r="E502" s="17"/>
      <c r="F502" s="295"/>
      <c r="G502" s="17"/>
      <c r="H502" s="17"/>
    </row>
    <row r="503">
      <c r="A503" s="17"/>
      <c r="B503" s="17"/>
      <c r="C503" s="17"/>
      <c r="D503" s="17"/>
      <c r="E503" s="17"/>
      <c r="F503" s="295"/>
      <c r="G503" s="17"/>
      <c r="H503" s="17"/>
    </row>
    <row r="504">
      <c r="A504" s="17"/>
      <c r="B504" s="17"/>
      <c r="C504" s="17"/>
      <c r="D504" s="17"/>
      <c r="E504" s="17"/>
      <c r="F504" s="295"/>
      <c r="G504" s="17"/>
      <c r="H504" s="17"/>
    </row>
    <row r="505">
      <c r="A505" s="17"/>
      <c r="B505" s="17"/>
      <c r="C505" s="17"/>
      <c r="D505" s="17"/>
      <c r="E505" s="17"/>
      <c r="F505" s="295"/>
      <c r="G505" s="17"/>
      <c r="H505" s="17"/>
    </row>
    <row r="506">
      <c r="A506" s="17"/>
      <c r="B506" s="17"/>
      <c r="C506" s="17"/>
      <c r="D506" s="17"/>
      <c r="E506" s="17"/>
      <c r="F506" s="295"/>
      <c r="G506" s="17"/>
      <c r="H506" s="17"/>
    </row>
    <row r="507">
      <c r="A507" s="17"/>
      <c r="B507" s="17"/>
      <c r="C507" s="17"/>
      <c r="D507" s="17"/>
      <c r="E507" s="17"/>
      <c r="F507" s="295"/>
      <c r="G507" s="17"/>
      <c r="H507" s="17"/>
    </row>
    <row r="508">
      <c r="A508" s="17"/>
      <c r="B508" s="17"/>
      <c r="C508" s="17"/>
      <c r="D508" s="17"/>
      <c r="E508" s="17"/>
      <c r="F508" s="295"/>
      <c r="G508" s="17"/>
      <c r="H508" s="17"/>
    </row>
    <row r="509">
      <c r="A509" s="17"/>
      <c r="B509" s="17"/>
      <c r="C509" s="17"/>
      <c r="D509" s="17"/>
      <c r="E509" s="17"/>
      <c r="F509" s="295"/>
      <c r="G509" s="17"/>
      <c r="H509" s="17"/>
    </row>
    <row r="510">
      <c r="A510" s="17"/>
      <c r="B510" s="17"/>
      <c r="C510" s="17"/>
      <c r="D510" s="17"/>
      <c r="E510" s="17"/>
      <c r="F510" s="295"/>
      <c r="G510" s="17"/>
      <c r="H510" s="17"/>
    </row>
    <row r="511">
      <c r="A511" s="17"/>
      <c r="B511" s="17"/>
      <c r="C511" s="17"/>
      <c r="D511" s="17"/>
      <c r="E511" s="17"/>
      <c r="F511" s="295"/>
      <c r="G511" s="17"/>
      <c r="H511" s="17"/>
    </row>
    <row r="512">
      <c r="A512" s="17"/>
      <c r="B512" s="17"/>
      <c r="C512" s="17"/>
      <c r="D512" s="17"/>
      <c r="E512" s="17"/>
      <c r="F512" s="295"/>
      <c r="G512" s="17"/>
      <c r="H512" s="17"/>
    </row>
    <row r="513">
      <c r="A513" s="17"/>
      <c r="B513" s="17"/>
      <c r="C513" s="17"/>
      <c r="D513" s="17"/>
      <c r="E513" s="17"/>
      <c r="F513" s="295"/>
      <c r="G513" s="17"/>
      <c r="H513" s="17"/>
    </row>
    <row r="514">
      <c r="A514" s="17"/>
      <c r="B514" s="17"/>
      <c r="C514" s="17"/>
      <c r="D514" s="17"/>
      <c r="E514" s="17"/>
      <c r="F514" s="295"/>
      <c r="G514" s="17"/>
      <c r="H514" s="17"/>
    </row>
    <row r="515">
      <c r="A515" s="17"/>
      <c r="B515" s="17"/>
      <c r="C515" s="17"/>
      <c r="D515" s="17"/>
      <c r="E515" s="17"/>
      <c r="F515" s="295"/>
      <c r="G515" s="17"/>
      <c r="H515" s="17"/>
    </row>
    <row r="516">
      <c r="A516" s="17"/>
      <c r="B516" s="17"/>
      <c r="C516" s="17"/>
      <c r="D516" s="17"/>
      <c r="E516" s="17"/>
      <c r="F516" s="295"/>
      <c r="G516" s="17"/>
      <c r="H516" s="17"/>
    </row>
    <row r="517">
      <c r="A517" s="17"/>
      <c r="B517" s="17"/>
      <c r="C517" s="17"/>
      <c r="D517" s="17"/>
      <c r="E517" s="17"/>
      <c r="F517" s="295"/>
      <c r="G517" s="17"/>
      <c r="H517" s="17"/>
    </row>
    <row r="518">
      <c r="A518" s="17"/>
      <c r="B518" s="17"/>
      <c r="C518" s="17"/>
      <c r="D518" s="17"/>
      <c r="E518" s="17"/>
      <c r="F518" s="295"/>
      <c r="G518" s="17"/>
      <c r="H518" s="17"/>
    </row>
    <row r="519">
      <c r="A519" s="17"/>
      <c r="B519" s="17"/>
      <c r="C519" s="17"/>
      <c r="D519" s="17"/>
      <c r="E519" s="17"/>
      <c r="F519" s="295"/>
      <c r="G519" s="17"/>
      <c r="H519" s="17"/>
    </row>
    <row r="520">
      <c r="A520" s="17"/>
      <c r="B520" s="17"/>
      <c r="C520" s="17"/>
      <c r="D520" s="17"/>
      <c r="E520" s="17"/>
      <c r="F520" s="295"/>
      <c r="G520" s="17"/>
      <c r="H520" s="17"/>
    </row>
    <row r="521">
      <c r="A521" s="17"/>
      <c r="B521" s="17"/>
      <c r="C521" s="17"/>
      <c r="D521" s="17"/>
      <c r="E521" s="17"/>
      <c r="F521" s="295"/>
      <c r="G521" s="17"/>
      <c r="H521" s="17"/>
    </row>
    <row r="522">
      <c r="A522" s="17"/>
      <c r="B522" s="17"/>
      <c r="C522" s="17"/>
      <c r="D522" s="17"/>
      <c r="E522" s="17"/>
      <c r="F522" s="295"/>
      <c r="G522" s="17"/>
      <c r="H522" s="17"/>
    </row>
    <row r="523">
      <c r="A523" s="17"/>
      <c r="B523" s="17"/>
      <c r="C523" s="17"/>
      <c r="D523" s="17"/>
      <c r="E523" s="17"/>
      <c r="F523" s="295"/>
      <c r="G523" s="17"/>
      <c r="H523" s="17"/>
    </row>
    <row r="524">
      <c r="A524" s="17"/>
      <c r="B524" s="17"/>
      <c r="C524" s="17"/>
      <c r="D524" s="17"/>
      <c r="E524" s="17"/>
      <c r="F524" s="295"/>
      <c r="G524" s="17"/>
      <c r="H524" s="17"/>
    </row>
    <row r="525">
      <c r="A525" s="17"/>
      <c r="B525" s="17"/>
      <c r="C525" s="17"/>
      <c r="D525" s="17"/>
      <c r="E525" s="17"/>
      <c r="F525" s="295"/>
      <c r="G525" s="17"/>
      <c r="H525" s="17"/>
    </row>
    <row r="526">
      <c r="A526" s="17"/>
      <c r="B526" s="17"/>
      <c r="C526" s="17"/>
      <c r="D526" s="17"/>
      <c r="E526" s="17"/>
      <c r="F526" s="295"/>
      <c r="G526" s="17"/>
      <c r="H526" s="17"/>
    </row>
    <row r="527">
      <c r="A527" s="17"/>
      <c r="B527" s="17"/>
      <c r="C527" s="17"/>
      <c r="D527" s="17"/>
      <c r="E527" s="17"/>
      <c r="F527" s="295"/>
      <c r="G527" s="17"/>
      <c r="H527" s="17"/>
    </row>
    <row r="528">
      <c r="A528" s="17"/>
      <c r="B528" s="17"/>
      <c r="C528" s="17"/>
      <c r="D528" s="17"/>
      <c r="E528" s="17"/>
      <c r="F528" s="295"/>
      <c r="G528" s="17"/>
      <c r="H528" s="17"/>
    </row>
    <row r="529">
      <c r="A529" s="17"/>
      <c r="B529" s="17"/>
      <c r="C529" s="17"/>
      <c r="D529" s="17"/>
      <c r="E529" s="17"/>
      <c r="F529" s="295"/>
      <c r="G529" s="17"/>
      <c r="H529" s="17"/>
    </row>
    <row r="530">
      <c r="A530" s="17"/>
      <c r="B530" s="17"/>
      <c r="C530" s="17"/>
      <c r="D530" s="17"/>
      <c r="E530" s="17"/>
      <c r="F530" s="295"/>
      <c r="G530" s="17"/>
      <c r="H530" s="17"/>
    </row>
    <row r="531">
      <c r="A531" s="17"/>
      <c r="B531" s="17"/>
      <c r="C531" s="17"/>
      <c r="D531" s="17"/>
      <c r="E531" s="17"/>
      <c r="F531" s="295"/>
      <c r="G531" s="17"/>
      <c r="H531" s="17"/>
    </row>
    <row r="532">
      <c r="A532" s="17"/>
      <c r="B532" s="17"/>
      <c r="C532" s="17"/>
      <c r="D532" s="17"/>
      <c r="E532" s="17"/>
      <c r="F532" s="295"/>
      <c r="G532" s="17"/>
      <c r="H532" s="17"/>
    </row>
    <row r="533">
      <c r="A533" s="17"/>
      <c r="B533" s="17"/>
      <c r="C533" s="17"/>
      <c r="D533" s="17"/>
      <c r="E533" s="17"/>
      <c r="F533" s="295"/>
      <c r="G533" s="17"/>
      <c r="H533" s="17"/>
    </row>
    <row r="534">
      <c r="A534" s="17"/>
      <c r="B534" s="17"/>
      <c r="C534" s="17"/>
      <c r="D534" s="17"/>
      <c r="E534" s="17"/>
      <c r="F534" s="295"/>
      <c r="G534" s="17"/>
      <c r="H534" s="17"/>
    </row>
    <row r="535">
      <c r="A535" s="17"/>
      <c r="B535" s="17"/>
      <c r="C535" s="17"/>
      <c r="D535" s="17"/>
      <c r="E535" s="17"/>
      <c r="F535" s="295"/>
      <c r="G535" s="17"/>
      <c r="H535" s="17"/>
    </row>
    <row r="536">
      <c r="A536" s="17"/>
      <c r="B536" s="17"/>
      <c r="C536" s="17"/>
      <c r="D536" s="17"/>
      <c r="E536" s="17"/>
      <c r="F536" s="295"/>
      <c r="G536" s="17"/>
      <c r="H536" s="17"/>
    </row>
    <row r="537">
      <c r="A537" s="17"/>
      <c r="B537" s="17"/>
      <c r="C537" s="17"/>
      <c r="D537" s="17"/>
      <c r="E537" s="17"/>
      <c r="F537" s="295"/>
      <c r="G537" s="17"/>
      <c r="H537" s="17"/>
    </row>
    <row r="538">
      <c r="A538" s="17"/>
      <c r="B538" s="17"/>
      <c r="C538" s="17"/>
      <c r="D538" s="17"/>
      <c r="E538" s="17"/>
      <c r="F538" s="295"/>
      <c r="G538" s="17"/>
      <c r="H538" s="17"/>
    </row>
    <row r="539">
      <c r="A539" s="17"/>
      <c r="B539" s="17"/>
      <c r="C539" s="17"/>
      <c r="D539" s="17"/>
      <c r="E539" s="17"/>
      <c r="F539" s="295"/>
      <c r="G539" s="17"/>
      <c r="H539" s="17"/>
    </row>
    <row r="540">
      <c r="A540" s="17"/>
      <c r="B540" s="17"/>
      <c r="C540" s="17"/>
      <c r="D540" s="17"/>
      <c r="E540" s="17"/>
      <c r="F540" s="295"/>
      <c r="G540" s="17"/>
      <c r="H540" s="17"/>
    </row>
    <row r="541">
      <c r="A541" s="17"/>
      <c r="B541" s="17"/>
      <c r="C541" s="17"/>
      <c r="D541" s="17"/>
      <c r="E541" s="17"/>
      <c r="F541" s="295"/>
      <c r="G541" s="17"/>
      <c r="H541" s="17"/>
    </row>
    <row r="542">
      <c r="A542" s="17"/>
      <c r="B542" s="17"/>
      <c r="C542" s="17"/>
      <c r="D542" s="17"/>
      <c r="E542" s="17"/>
      <c r="F542" s="295"/>
      <c r="G542" s="17"/>
      <c r="H542" s="17"/>
    </row>
    <row r="543">
      <c r="A543" s="17"/>
      <c r="B543" s="17"/>
      <c r="C543" s="17"/>
      <c r="D543" s="17"/>
      <c r="E543" s="17"/>
      <c r="F543" s="295"/>
      <c r="G543" s="17"/>
      <c r="H543" s="17"/>
    </row>
    <row r="544">
      <c r="A544" s="17"/>
      <c r="B544" s="17"/>
      <c r="C544" s="17"/>
      <c r="D544" s="17"/>
      <c r="E544" s="17"/>
      <c r="F544" s="295"/>
      <c r="G544" s="17"/>
      <c r="H544" s="17"/>
    </row>
    <row r="545">
      <c r="A545" s="17"/>
      <c r="B545" s="17"/>
      <c r="C545" s="17"/>
      <c r="D545" s="17"/>
      <c r="E545" s="17"/>
      <c r="F545" s="295"/>
      <c r="G545" s="17"/>
      <c r="H545" s="17"/>
    </row>
    <row r="546">
      <c r="A546" s="17"/>
      <c r="B546" s="17"/>
      <c r="C546" s="17"/>
      <c r="D546" s="17"/>
      <c r="E546" s="17"/>
      <c r="F546" s="295"/>
      <c r="G546" s="17"/>
      <c r="H546" s="17"/>
    </row>
    <row r="547">
      <c r="A547" s="17"/>
      <c r="B547" s="17"/>
      <c r="C547" s="17"/>
      <c r="D547" s="17"/>
      <c r="E547" s="17"/>
      <c r="F547" s="295"/>
      <c r="G547" s="17"/>
      <c r="H547" s="17"/>
    </row>
    <row r="548">
      <c r="A548" s="17"/>
      <c r="B548" s="17"/>
      <c r="C548" s="17"/>
      <c r="D548" s="17"/>
      <c r="E548" s="17"/>
      <c r="F548" s="295"/>
      <c r="G548" s="17"/>
      <c r="H548" s="17"/>
    </row>
    <row r="549">
      <c r="A549" s="17"/>
      <c r="B549" s="17"/>
      <c r="C549" s="17"/>
      <c r="D549" s="17"/>
      <c r="E549" s="17"/>
      <c r="F549" s="295"/>
      <c r="G549" s="17"/>
      <c r="H549" s="17"/>
    </row>
    <row r="550">
      <c r="A550" s="17"/>
      <c r="B550" s="17"/>
      <c r="C550" s="17"/>
      <c r="D550" s="17"/>
      <c r="E550" s="17"/>
      <c r="F550" s="295"/>
      <c r="G550" s="17"/>
      <c r="H550" s="17"/>
    </row>
    <row r="551">
      <c r="A551" s="17"/>
      <c r="B551" s="17"/>
      <c r="C551" s="17"/>
      <c r="D551" s="17"/>
      <c r="E551" s="17"/>
      <c r="F551" s="295"/>
      <c r="G551" s="17"/>
      <c r="H551" s="17"/>
    </row>
    <row r="552">
      <c r="A552" s="17"/>
      <c r="B552" s="17"/>
      <c r="C552" s="17"/>
      <c r="D552" s="17"/>
      <c r="E552" s="17"/>
      <c r="F552" s="295"/>
      <c r="G552" s="17"/>
      <c r="H552" s="17"/>
    </row>
    <row r="553">
      <c r="A553" s="17"/>
      <c r="B553" s="17"/>
      <c r="C553" s="17"/>
      <c r="D553" s="17"/>
      <c r="E553" s="17"/>
      <c r="F553" s="295"/>
      <c r="G553" s="17"/>
      <c r="H553" s="17"/>
    </row>
    <row r="554">
      <c r="A554" s="17"/>
      <c r="B554" s="17"/>
      <c r="C554" s="17"/>
      <c r="D554" s="17"/>
      <c r="E554" s="17"/>
      <c r="F554" s="295"/>
      <c r="G554" s="17"/>
      <c r="H554" s="17"/>
    </row>
    <row r="555">
      <c r="A555" s="17"/>
      <c r="B555" s="17"/>
      <c r="C555" s="17"/>
      <c r="D555" s="17"/>
      <c r="E555" s="17"/>
      <c r="F555" s="295"/>
      <c r="G555" s="17"/>
      <c r="H555" s="17"/>
    </row>
    <row r="556">
      <c r="A556" s="17"/>
      <c r="B556" s="17"/>
      <c r="C556" s="17"/>
      <c r="D556" s="17"/>
      <c r="E556" s="17"/>
      <c r="F556" s="295"/>
      <c r="G556" s="17"/>
      <c r="H556" s="17"/>
    </row>
    <row r="557">
      <c r="A557" s="17"/>
      <c r="B557" s="17"/>
      <c r="C557" s="17"/>
      <c r="D557" s="17"/>
      <c r="E557" s="17"/>
      <c r="F557" s="295"/>
      <c r="G557" s="17"/>
      <c r="H557" s="17"/>
    </row>
    <row r="558">
      <c r="A558" s="17"/>
      <c r="B558" s="17"/>
      <c r="C558" s="17"/>
      <c r="D558" s="17"/>
      <c r="E558" s="17"/>
      <c r="F558" s="295"/>
      <c r="G558" s="17"/>
      <c r="H558" s="17"/>
    </row>
    <row r="559">
      <c r="A559" s="17"/>
      <c r="B559" s="17"/>
      <c r="C559" s="17"/>
      <c r="D559" s="17"/>
      <c r="E559" s="17"/>
      <c r="F559" s="295"/>
      <c r="G559" s="17"/>
      <c r="H559" s="17"/>
    </row>
    <row r="560">
      <c r="A560" s="17"/>
      <c r="B560" s="17"/>
      <c r="C560" s="17"/>
      <c r="D560" s="17"/>
      <c r="E560" s="17"/>
      <c r="F560" s="295"/>
      <c r="G560" s="17"/>
      <c r="H560" s="17"/>
    </row>
    <row r="561">
      <c r="A561" s="17"/>
      <c r="B561" s="17"/>
      <c r="C561" s="17"/>
      <c r="D561" s="17"/>
      <c r="E561" s="17"/>
      <c r="F561" s="295"/>
      <c r="G561" s="17"/>
      <c r="H561" s="17"/>
    </row>
    <row r="562">
      <c r="A562" s="17"/>
      <c r="B562" s="17"/>
      <c r="C562" s="17"/>
      <c r="D562" s="17"/>
      <c r="E562" s="17"/>
      <c r="F562" s="295"/>
      <c r="G562" s="17"/>
      <c r="H562" s="17"/>
    </row>
    <row r="563">
      <c r="A563" s="17"/>
      <c r="B563" s="17"/>
      <c r="C563" s="17"/>
      <c r="D563" s="17"/>
      <c r="E563" s="17"/>
      <c r="F563" s="295"/>
      <c r="G563" s="17"/>
      <c r="H563" s="17"/>
    </row>
    <row r="564">
      <c r="A564" s="17"/>
      <c r="B564" s="17"/>
      <c r="C564" s="17"/>
      <c r="D564" s="17"/>
      <c r="E564" s="17"/>
      <c r="F564" s="295"/>
      <c r="G564" s="17"/>
      <c r="H564" s="17"/>
    </row>
    <row r="565">
      <c r="A565" s="17"/>
      <c r="B565" s="17"/>
      <c r="C565" s="17"/>
      <c r="D565" s="17"/>
      <c r="E565" s="17"/>
      <c r="F565" s="295"/>
      <c r="G565" s="17"/>
      <c r="H565" s="17"/>
    </row>
    <row r="566">
      <c r="A566" s="17"/>
      <c r="B566" s="17"/>
      <c r="C566" s="17"/>
      <c r="D566" s="17"/>
      <c r="E566" s="17"/>
      <c r="F566" s="295"/>
      <c r="G566" s="17"/>
      <c r="H566" s="17"/>
    </row>
    <row r="567">
      <c r="A567" s="17"/>
      <c r="B567" s="17"/>
      <c r="C567" s="17"/>
      <c r="D567" s="17"/>
      <c r="E567" s="17"/>
      <c r="F567" s="295"/>
      <c r="G567" s="17"/>
      <c r="H567" s="17"/>
    </row>
    <row r="568">
      <c r="A568" s="17"/>
      <c r="B568" s="17"/>
      <c r="C568" s="17"/>
      <c r="D568" s="17"/>
      <c r="E568" s="17"/>
      <c r="F568" s="295"/>
      <c r="G568" s="17"/>
      <c r="H568" s="17"/>
    </row>
    <row r="569">
      <c r="A569" s="17"/>
      <c r="B569" s="17"/>
      <c r="C569" s="17"/>
      <c r="D569" s="17"/>
      <c r="E569" s="17"/>
      <c r="F569" s="295"/>
      <c r="G569" s="17"/>
      <c r="H569" s="17"/>
    </row>
    <row r="570">
      <c r="A570" s="17"/>
      <c r="B570" s="17"/>
      <c r="C570" s="17"/>
      <c r="D570" s="17"/>
      <c r="E570" s="17"/>
      <c r="F570" s="295"/>
      <c r="G570" s="17"/>
      <c r="H570" s="17"/>
    </row>
    <row r="571">
      <c r="A571" s="17"/>
      <c r="B571" s="17"/>
      <c r="C571" s="17"/>
      <c r="D571" s="17"/>
      <c r="E571" s="17"/>
      <c r="F571" s="295"/>
      <c r="G571" s="17"/>
      <c r="H571" s="17"/>
    </row>
    <row r="572">
      <c r="A572" s="17"/>
      <c r="B572" s="17"/>
      <c r="C572" s="17"/>
      <c r="D572" s="17"/>
      <c r="E572" s="17"/>
      <c r="F572" s="295"/>
      <c r="G572" s="17"/>
      <c r="H572" s="17"/>
    </row>
    <row r="573">
      <c r="A573" s="17"/>
      <c r="B573" s="17"/>
      <c r="C573" s="17"/>
      <c r="D573" s="17"/>
      <c r="E573" s="17"/>
      <c r="F573" s="295"/>
      <c r="G573" s="17"/>
      <c r="H573" s="17"/>
    </row>
    <row r="574">
      <c r="A574" s="17"/>
      <c r="B574" s="17"/>
      <c r="C574" s="17"/>
      <c r="D574" s="17"/>
      <c r="E574" s="17"/>
      <c r="F574" s="295"/>
      <c r="G574" s="17"/>
      <c r="H574" s="17"/>
    </row>
    <row r="575">
      <c r="A575" s="17"/>
      <c r="B575" s="17"/>
      <c r="C575" s="17"/>
      <c r="D575" s="17"/>
      <c r="E575" s="17"/>
      <c r="F575" s="295"/>
      <c r="G575" s="17"/>
      <c r="H575" s="17"/>
    </row>
    <row r="576">
      <c r="A576" s="17"/>
      <c r="B576" s="17"/>
      <c r="C576" s="17"/>
      <c r="D576" s="17"/>
      <c r="E576" s="17"/>
      <c r="F576" s="295"/>
      <c r="G576" s="17"/>
      <c r="H576" s="17"/>
    </row>
    <row r="577">
      <c r="A577" s="17"/>
      <c r="B577" s="17"/>
      <c r="C577" s="17"/>
      <c r="D577" s="17"/>
      <c r="E577" s="17"/>
      <c r="F577" s="295"/>
      <c r="G577" s="17"/>
      <c r="H577" s="17"/>
    </row>
    <row r="578">
      <c r="A578" s="17"/>
      <c r="B578" s="17"/>
      <c r="C578" s="17"/>
      <c r="D578" s="17"/>
      <c r="E578" s="17"/>
      <c r="F578" s="295"/>
      <c r="G578" s="17"/>
      <c r="H578" s="17"/>
    </row>
    <row r="579">
      <c r="A579" s="17"/>
      <c r="B579" s="17"/>
      <c r="C579" s="17"/>
      <c r="D579" s="17"/>
      <c r="E579" s="17"/>
      <c r="F579" s="295"/>
      <c r="G579" s="17"/>
      <c r="H579" s="17"/>
    </row>
    <row r="580">
      <c r="A580" s="17"/>
      <c r="B580" s="17"/>
      <c r="C580" s="17"/>
      <c r="D580" s="17"/>
      <c r="E580" s="17"/>
      <c r="F580" s="295"/>
      <c r="G580" s="17"/>
      <c r="H580" s="17"/>
    </row>
    <row r="581">
      <c r="A581" s="17"/>
      <c r="B581" s="17"/>
      <c r="C581" s="17"/>
      <c r="D581" s="17"/>
      <c r="E581" s="17"/>
      <c r="F581" s="295"/>
      <c r="G581" s="17"/>
      <c r="H581" s="17"/>
    </row>
    <row r="582">
      <c r="A582" s="17"/>
      <c r="B582" s="17"/>
      <c r="C582" s="17"/>
      <c r="D582" s="17"/>
      <c r="E582" s="17"/>
      <c r="F582" s="295"/>
      <c r="G582" s="17"/>
      <c r="H582" s="17"/>
    </row>
    <row r="583">
      <c r="A583" s="17"/>
      <c r="B583" s="17"/>
      <c r="C583" s="17"/>
      <c r="D583" s="17"/>
      <c r="E583" s="17"/>
      <c r="F583" s="295"/>
      <c r="G583" s="17"/>
      <c r="H583" s="17"/>
    </row>
    <row r="584">
      <c r="A584" s="17"/>
      <c r="B584" s="17"/>
      <c r="C584" s="17"/>
      <c r="D584" s="17"/>
      <c r="E584" s="17"/>
      <c r="F584" s="295"/>
      <c r="G584" s="17"/>
      <c r="H584" s="17"/>
    </row>
    <row r="585">
      <c r="A585" s="17"/>
      <c r="B585" s="17"/>
      <c r="C585" s="17"/>
      <c r="D585" s="17"/>
      <c r="E585" s="17"/>
      <c r="F585" s="295"/>
      <c r="G585" s="17"/>
      <c r="H585" s="17"/>
    </row>
    <row r="586">
      <c r="A586" s="17"/>
      <c r="B586" s="17"/>
      <c r="C586" s="17"/>
      <c r="D586" s="17"/>
      <c r="E586" s="17"/>
      <c r="F586" s="295"/>
      <c r="G586" s="17"/>
      <c r="H586" s="17"/>
    </row>
    <row r="587">
      <c r="A587" s="17"/>
      <c r="B587" s="17"/>
      <c r="C587" s="17"/>
      <c r="D587" s="17"/>
      <c r="E587" s="17"/>
      <c r="F587" s="295"/>
      <c r="G587" s="17"/>
      <c r="H587" s="17"/>
    </row>
    <row r="588">
      <c r="A588" s="17"/>
      <c r="B588" s="17"/>
      <c r="C588" s="17"/>
      <c r="D588" s="17"/>
      <c r="E588" s="17"/>
      <c r="F588" s="295"/>
      <c r="G588" s="17"/>
      <c r="H588" s="17"/>
    </row>
    <row r="589">
      <c r="A589" s="17"/>
      <c r="B589" s="17"/>
      <c r="C589" s="17"/>
      <c r="D589" s="17"/>
      <c r="E589" s="17"/>
      <c r="F589" s="295"/>
      <c r="G589" s="17"/>
      <c r="H589" s="17"/>
    </row>
    <row r="590">
      <c r="A590" s="17"/>
      <c r="B590" s="17"/>
      <c r="C590" s="17"/>
      <c r="D590" s="17"/>
      <c r="E590" s="17"/>
      <c r="F590" s="295"/>
      <c r="G590" s="17"/>
      <c r="H590" s="17"/>
    </row>
    <row r="591">
      <c r="A591" s="17"/>
      <c r="B591" s="17"/>
      <c r="C591" s="17"/>
      <c r="D591" s="17"/>
      <c r="E591" s="17"/>
      <c r="F591" s="295"/>
      <c r="G591" s="17"/>
      <c r="H591" s="17"/>
    </row>
    <row r="592">
      <c r="A592" s="17"/>
      <c r="B592" s="17"/>
      <c r="C592" s="17"/>
      <c r="D592" s="17"/>
      <c r="E592" s="17"/>
      <c r="F592" s="295"/>
      <c r="G592" s="17"/>
      <c r="H592" s="17"/>
    </row>
    <row r="593">
      <c r="A593" s="17"/>
      <c r="B593" s="17"/>
      <c r="C593" s="17"/>
      <c r="D593" s="17"/>
      <c r="E593" s="17"/>
      <c r="F593" s="295"/>
      <c r="G593" s="17"/>
      <c r="H593" s="17"/>
    </row>
    <row r="594">
      <c r="A594" s="17"/>
      <c r="B594" s="17"/>
      <c r="C594" s="17"/>
      <c r="D594" s="17"/>
      <c r="E594" s="17"/>
      <c r="F594" s="295"/>
      <c r="G594" s="17"/>
      <c r="H594" s="17"/>
    </row>
    <row r="595">
      <c r="A595" s="17"/>
      <c r="B595" s="17"/>
      <c r="C595" s="17"/>
      <c r="D595" s="17"/>
      <c r="E595" s="17"/>
      <c r="F595" s="295"/>
      <c r="G595" s="17"/>
      <c r="H595" s="17"/>
    </row>
    <row r="596">
      <c r="A596" s="17"/>
      <c r="B596" s="17"/>
      <c r="C596" s="17"/>
      <c r="D596" s="17"/>
      <c r="E596" s="17"/>
      <c r="F596" s="295"/>
      <c r="G596" s="17"/>
      <c r="H596" s="17"/>
    </row>
    <row r="597">
      <c r="A597" s="17"/>
      <c r="B597" s="17"/>
      <c r="C597" s="17"/>
      <c r="D597" s="17"/>
      <c r="E597" s="17"/>
      <c r="F597" s="295"/>
      <c r="G597" s="17"/>
      <c r="H597" s="17"/>
    </row>
    <row r="598">
      <c r="A598" s="17"/>
      <c r="B598" s="17"/>
      <c r="C598" s="17"/>
      <c r="D598" s="17"/>
      <c r="E598" s="17"/>
      <c r="F598" s="295"/>
      <c r="G598" s="17"/>
      <c r="H598" s="17"/>
    </row>
    <row r="599">
      <c r="A599" s="17"/>
      <c r="B599" s="17"/>
      <c r="C599" s="17"/>
      <c r="D599" s="17"/>
      <c r="E599" s="17"/>
      <c r="F599" s="295"/>
      <c r="G599" s="17"/>
      <c r="H599" s="17"/>
    </row>
    <row r="600">
      <c r="A600" s="17"/>
      <c r="B600" s="17"/>
      <c r="C600" s="17"/>
      <c r="D600" s="17"/>
      <c r="E600" s="17"/>
      <c r="F600" s="295"/>
      <c r="G600" s="17"/>
      <c r="H600" s="17"/>
    </row>
    <row r="601">
      <c r="A601" s="17"/>
      <c r="B601" s="17"/>
      <c r="C601" s="17"/>
      <c r="D601" s="17"/>
      <c r="E601" s="17"/>
      <c r="F601" s="295"/>
      <c r="G601" s="17"/>
      <c r="H601" s="17"/>
    </row>
    <row r="602">
      <c r="A602" s="17"/>
      <c r="B602" s="17"/>
      <c r="C602" s="17"/>
      <c r="D602" s="17"/>
      <c r="E602" s="17"/>
      <c r="F602" s="295"/>
      <c r="G602" s="17"/>
      <c r="H602" s="17"/>
    </row>
    <row r="603">
      <c r="A603" s="17"/>
      <c r="B603" s="17"/>
      <c r="C603" s="17"/>
      <c r="D603" s="17"/>
      <c r="E603" s="17"/>
      <c r="F603" s="295"/>
      <c r="G603" s="17"/>
      <c r="H603" s="17"/>
    </row>
    <row r="604">
      <c r="A604" s="17"/>
      <c r="B604" s="17"/>
      <c r="C604" s="17"/>
      <c r="D604" s="17"/>
      <c r="E604" s="17"/>
      <c r="F604" s="295"/>
      <c r="G604" s="17"/>
      <c r="H604" s="17"/>
    </row>
    <row r="605">
      <c r="A605" s="17"/>
      <c r="B605" s="17"/>
      <c r="C605" s="17"/>
      <c r="D605" s="17"/>
      <c r="E605" s="17"/>
      <c r="F605" s="295"/>
      <c r="G605" s="17"/>
      <c r="H605" s="17"/>
    </row>
    <row r="606">
      <c r="A606" s="17"/>
      <c r="B606" s="17"/>
      <c r="C606" s="17"/>
      <c r="D606" s="17"/>
      <c r="E606" s="17"/>
      <c r="F606" s="295"/>
      <c r="G606" s="17"/>
      <c r="H606" s="17"/>
    </row>
    <row r="607">
      <c r="A607" s="17"/>
      <c r="B607" s="17"/>
      <c r="C607" s="17"/>
      <c r="D607" s="17"/>
      <c r="E607" s="17"/>
      <c r="F607" s="295"/>
      <c r="G607" s="17"/>
      <c r="H607" s="17"/>
    </row>
    <row r="608">
      <c r="A608" s="17"/>
      <c r="B608" s="17"/>
      <c r="C608" s="17"/>
      <c r="D608" s="17"/>
      <c r="E608" s="17"/>
      <c r="F608" s="295"/>
      <c r="G608" s="17"/>
      <c r="H608" s="17"/>
    </row>
    <row r="609">
      <c r="A609" s="17"/>
      <c r="B609" s="17"/>
      <c r="C609" s="17"/>
      <c r="D609" s="17"/>
      <c r="E609" s="17"/>
      <c r="F609" s="295"/>
      <c r="G609" s="17"/>
      <c r="H609" s="17"/>
    </row>
    <row r="610">
      <c r="A610" s="17"/>
      <c r="B610" s="17"/>
      <c r="C610" s="17"/>
      <c r="D610" s="17"/>
      <c r="E610" s="17"/>
      <c r="F610" s="295"/>
      <c r="G610" s="17"/>
      <c r="H610" s="17"/>
    </row>
    <row r="611">
      <c r="A611" s="17"/>
      <c r="B611" s="17"/>
      <c r="C611" s="17"/>
      <c r="D611" s="17"/>
      <c r="E611" s="17"/>
      <c r="F611" s="295"/>
      <c r="G611" s="17"/>
      <c r="H611" s="17"/>
    </row>
    <row r="612">
      <c r="A612" s="17"/>
      <c r="B612" s="17"/>
      <c r="C612" s="17"/>
      <c r="D612" s="17"/>
      <c r="E612" s="17"/>
      <c r="F612" s="295"/>
      <c r="G612" s="17"/>
      <c r="H612" s="17"/>
    </row>
    <row r="613">
      <c r="A613" s="17"/>
      <c r="B613" s="17"/>
      <c r="C613" s="17"/>
      <c r="D613" s="17"/>
      <c r="E613" s="17"/>
      <c r="F613" s="295"/>
      <c r="G613" s="17"/>
      <c r="H613" s="17"/>
    </row>
    <row r="614">
      <c r="A614" s="17"/>
      <c r="B614" s="17"/>
      <c r="C614" s="17"/>
      <c r="D614" s="17"/>
      <c r="E614" s="17"/>
      <c r="F614" s="295"/>
      <c r="G614" s="17"/>
      <c r="H614" s="17"/>
    </row>
    <row r="615">
      <c r="A615" s="17"/>
      <c r="B615" s="17"/>
      <c r="C615" s="17"/>
      <c r="D615" s="17"/>
      <c r="E615" s="17"/>
      <c r="F615" s="295"/>
      <c r="G615" s="17"/>
      <c r="H615" s="17"/>
    </row>
    <row r="616">
      <c r="A616" s="17"/>
      <c r="B616" s="17"/>
      <c r="C616" s="17"/>
      <c r="D616" s="17"/>
      <c r="E616" s="17"/>
      <c r="F616" s="295"/>
      <c r="G616" s="17"/>
      <c r="H616" s="17"/>
    </row>
    <row r="617">
      <c r="A617" s="17"/>
      <c r="B617" s="17"/>
      <c r="C617" s="17"/>
      <c r="D617" s="17"/>
      <c r="E617" s="17"/>
      <c r="F617" s="295"/>
      <c r="G617" s="17"/>
      <c r="H617" s="17"/>
    </row>
    <row r="618">
      <c r="A618" s="17"/>
      <c r="B618" s="17"/>
      <c r="C618" s="17"/>
      <c r="D618" s="17"/>
      <c r="E618" s="17"/>
      <c r="F618" s="295"/>
      <c r="G618" s="17"/>
      <c r="H618" s="17"/>
    </row>
    <row r="619">
      <c r="A619" s="17"/>
      <c r="B619" s="17"/>
      <c r="C619" s="17"/>
      <c r="D619" s="17"/>
      <c r="E619" s="17"/>
      <c r="F619" s="295"/>
      <c r="G619" s="17"/>
      <c r="H619" s="17"/>
    </row>
    <row r="620">
      <c r="A620" s="17"/>
      <c r="B620" s="17"/>
      <c r="C620" s="17"/>
      <c r="D620" s="17"/>
      <c r="E620" s="17"/>
      <c r="F620" s="295"/>
      <c r="G620" s="17"/>
      <c r="H620" s="17"/>
    </row>
    <row r="621">
      <c r="A621" s="17"/>
      <c r="B621" s="17"/>
      <c r="C621" s="17"/>
      <c r="D621" s="17"/>
      <c r="E621" s="17"/>
      <c r="F621" s="295"/>
      <c r="G621" s="17"/>
      <c r="H621" s="17"/>
    </row>
    <row r="622">
      <c r="A622" s="17"/>
      <c r="B622" s="17"/>
      <c r="C622" s="17"/>
      <c r="D622" s="17"/>
      <c r="E622" s="17"/>
      <c r="F622" s="295"/>
      <c r="G622" s="17"/>
      <c r="H622" s="17"/>
    </row>
    <row r="623">
      <c r="A623" s="17"/>
      <c r="B623" s="17"/>
      <c r="C623" s="17"/>
      <c r="D623" s="17"/>
      <c r="E623" s="17"/>
      <c r="F623" s="295"/>
      <c r="G623" s="17"/>
      <c r="H623" s="17"/>
    </row>
    <row r="624">
      <c r="A624" s="17"/>
      <c r="B624" s="17"/>
      <c r="C624" s="17"/>
      <c r="D624" s="17"/>
      <c r="E624" s="17"/>
      <c r="F624" s="295"/>
      <c r="G624" s="17"/>
      <c r="H624" s="17"/>
    </row>
    <row r="625">
      <c r="A625" s="17"/>
      <c r="B625" s="17"/>
      <c r="C625" s="17"/>
      <c r="D625" s="17"/>
      <c r="E625" s="17"/>
      <c r="F625" s="295"/>
      <c r="G625" s="17"/>
      <c r="H625" s="17"/>
    </row>
    <row r="626">
      <c r="A626" s="17"/>
      <c r="B626" s="17"/>
      <c r="C626" s="17"/>
      <c r="D626" s="17"/>
      <c r="E626" s="17"/>
      <c r="F626" s="295"/>
      <c r="G626" s="17"/>
      <c r="H626" s="17"/>
    </row>
    <row r="627">
      <c r="A627" s="17"/>
      <c r="B627" s="17"/>
      <c r="C627" s="17"/>
      <c r="D627" s="17"/>
      <c r="E627" s="17"/>
      <c r="F627" s="295"/>
      <c r="G627" s="17"/>
      <c r="H627" s="17"/>
    </row>
    <row r="628">
      <c r="A628" s="17"/>
      <c r="B628" s="17"/>
      <c r="C628" s="17"/>
      <c r="D628" s="17"/>
      <c r="E628" s="17"/>
      <c r="F628" s="295"/>
      <c r="G628" s="17"/>
      <c r="H628" s="17"/>
    </row>
    <row r="629">
      <c r="A629" s="17"/>
      <c r="B629" s="17"/>
      <c r="C629" s="17"/>
      <c r="D629" s="17"/>
      <c r="E629" s="17"/>
      <c r="F629" s="295"/>
      <c r="G629" s="17"/>
      <c r="H629" s="17"/>
    </row>
    <row r="630">
      <c r="A630" s="17"/>
      <c r="B630" s="17"/>
      <c r="C630" s="17"/>
      <c r="D630" s="17"/>
      <c r="E630" s="17"/>
      <c r="F630" s="295"/>
      <c r="G630" s="17"/>
      <c r="H630" s="17"/>
    </row>
    <row r="631">
      <c r="A631" s="17"/>
      <c r="B631" s="17"/>
      <c r="C631" s="17"/>
      <c r="D631" s="17"/>
      <c r="E631" s="17"/>
      <c r="F631" s="295"/>
      <c r="G631" s="17"/>
      <c r="H631" s="17"/>
    </row>
    <row r="632">
      <c r="A632" s="17"/>
      <c r="B632" s="17"/>
      <c r="C632" s="17"/>
      <c r="D632" s="17"/>
      <c r="E632" s="17"/>
      <c r="F632" s="295"/>
      <c r="G632" s="17"/>
      <c r="H632" s="17"/>
    </row>
    <row r="633">
      <c r="A633" s="17"/>
      <c r="B633" s="17"/>
      <c r="C633" s="17"/>
      <c r="D633" s="17"/>
      <c r="E633" s="17"/>
      <c r="F633" s="295"/>
      <c r="G633" s="17"/>
      <c r="H633" s="17"/>
    </row>
    <row r="634">
      <c r="A634" s="17"/>
      <c r="B634" s="17"/>
      <c r="C634" s="17"/>
      <c r="D634" s="17"/>
      <c r="E634" s="17"/>
      <c r="F634" s="295"/>
      <c r="G634" s="17"/>
      <c r="H634" s="17"/>
    </row>
    <row r="635">
      <c r="A635" s="17"/>
      <c r="B635" s="17"/>
      <c r="C635" s="17"/>
      <c r="D635" s="17"/>
      <c r="E635" s="17"/>
      <c r="F635" s="295"/>
      <c r="G635" s="17"/>
      <c r="H635" s="17"/>
    </row>
    <row r="636">
      <c r="A636" s="17"/>
      <c r="B636" s="17"/>
      <c r="C636" s="17"/>
      <c r="D636" s="17"/>
      <c r="E636" s="17"/>
      <c r="F636" s="295"/>
      <c r="G636" s="17"/>
      <c r="H636" s="17"/>
    </row>
    <row r="637">
      <c r="A637" s="17"/>
      <c r="B637" s="17"/>
      <c r="C637" s="17"/>
      <c r="D637" s="17"/>
      <c r="E637" s="17"/>
      <c r="F637" s="295"/>
      <c r="G637" s="17"/>
      <c r="H637" s="17"/>
    </row>
    <row r="638">
      <c r="A638" s="17"/>
      <c r="B638" s="17"/>
      <c r="C638" s="17"/>
      <c r="D638" s="17"/>
      <c r="E638" s="17"/>
      <c r="F638" s="295"/>
      <c r="G638" s="17"/>
      <c r="H638" s="17"/>
    </row>
    <row r="639">
      <c r="A639" s="17"/>
      <c r="B639" s="17"/>
      <c r="C639" s="17"/>
      <c r="D639" s="17"/>
      <c r="E639" s="17"/>
      <c r="F639" s="295"/>
      <c r="G639" s="17"/>
      <c r="H639" s="17"/>
    </row>
    <row r="640">
      <c r="A640" s="17"/>
      <c r="B640" s="17"/>
      <c r="C640" s="17"/>
      <c r="D640" s="17"/>
      <c r="E640" s="17"/>
      <c r="F640" s="295"/>
      <c r="G640" s="17"/>
      <c r="H640" s="17"/>
    </row>
    <row r="641">
      <c r="A641" s="17"/>
      <c r="B641" s="17"/>
      <c r="C641" s="17"/>
      <c r="D641" s="17"/>
      <c r="E641" s="17"/>
      <c r="F641" s="295"/>
      <c r="G641" s="17"/>
      <c r="H641" s="17"/>
    </row>
    <row r="642">
      <c r="A642" s="17"/>
      <c r="B642" s="17"/>
      <c r="C642" s="17"/>
      <c r="D642" s="17"/>
      <c r="E642" s="17"/>
      <c r="F642" s="295"/>
      <c r="G642" s="17"/>
      <c r="H642" s="17"/>
    </row>
    <row r="643">
      <c r="A643" s="17"/>
      <c r="B643" s="17"/>
      <c r="C643" s="17"/>
      <c r="D643" s="17"/>
      <c r="E643" s="17"/>
      <c r="F643" s="295"/>
      <c r="G643" s="17"/>
      <c r="H643" s="17"/>
    </row>
    <row r="644">
      <c r="A644" s="17"/>
      <c r="B644" s="17"/>
      <c r="C644" s="17"/>
      <c r="D644" s="17"/>
      <c r="E644" s="17"/>
      <c r="F644" s="295"/>
      <c r="G644" s="17"/>
      <c r="H644" s="17"/>
    </row>
    <row r="645">
      <c r="A645" s="17"/>
      <c r="B645" s="17"/>
      <c r="C645" s="17"/>
      <c r="D645" s="17"/>
      <c r="E645" s="17"/>
      <c r="F645" s="295"/>
      <c r="G645" s="17"/>
      <c r="H645" s="17"/>
    </row>
    <row r="646">
      <c r="A646" s="17"/>
      <c r="B646" s="17"/>
      <c r="C646" s="17"/>
      <c r="D646" s="17"/>
      <c r="E646" s="17"/>
      <c r="F646" s="295"/>
      <c r="G646" s="17"/>
      <c r="H646" s="17"/>
    </row>
    <row r="647">
      <c r="A647" s="17"/>
      <c r="B647" s="17"/>
      <c r="C647" s="17"/>
      <c r="D647" s="17"/>
      <c r="E647" s="17"/>
      <c r="F647" s="295"/>
      <c r="G647" s="17"/>
      <c r="H647" s="17"/>
    </row>
    <row r="648">
      <c r="A648" s="17"/>
      <c r="B648" s="17"/>
      <c r="C648" s="17"/>
      <c r="D648" s="17"/>
      <c r="E648" s="17"/>
      <c r="F648" s="295"/>
      <c r="G648" s="17"/>
      <c r="H648" s="17"/>
    </row>
    <row r="649">
      <c r="A649" s="17"/>
      <c r="B649" s="17"/>
      <c r="C649" s="17"/>
      <c r="D649" s="17"/>
      <c r="E649" s="17"/>
      <c r="F649" s="295"/>
      <c r="G649" s="17"/>
      <c r="H649" s="17"/>
    </row>
    <row r="650">
      <c r="A650" s="17"/>
      <c r="B650" s="17"/>
      <c r="C650" s="17"/>
      <c r="D650" s="17"/>
      <c r="E650" s="17"/>
      <c r="F650" s="295"/>
      <c r="G650" s="17"/>
      <c r="H650" s="17"/>
    </row>
    <row r="651">
      <c r="A651" s="17"/>
      <c r="B651" s="17"/>
      <c r="C651" s="17"/>
      <c r="D651" s="17"/>
      <c r="E651" s="17"/>
      <c r="F651" s="295"/>
      <c r="G651" s="17"/>
      <c r="H651" s="17"/>
    </row>
    <row r="652">
      <c r="A652" s="17"/>
      <c r="B652" s="17"/>
      <c r="C652" s="17"/>
      <c r="D652" s="17"/>
      <c r="E652" s="17"/>
      <c r="F652" s="295"/>
      <c r="G652" s="17"/>
      <c r="H652" s="17"/>
    </row>
    <row r="653">
      <c r="A653" s="17"/>
      <c r="B653" s="17"/>
      <c r="C653" s="17"/>
      <c r="D653" s="17"/>
      <c r="E653" s="17"/>
      <c r="F653" s="295"/>
      <c r="G653" s="17"/>
      <c r="H653" s="17"/>
    </row>
    <row r="654">
      <c r="A654" s="17"/>
      <c r="B654" s="17"/>
      <c r="C654" s="17"/>
      <c r="D654" s="17"/>
      <c r="E654" s="17"/>
      <c r="F654" s="295"/>
      <c r="G654" s="17"/>
      <c r="H654" s="17"/>
    </row>
    <row r="655">
      <c r="A655" s="17"/>
      <c r="B655" s="17"/>
      <c r="C655" s="17"/>
      <c r="D655" s="17"/>
      <c r="E655" s="17"/>
      <c r="F655" s="295"/>
      <c r="G655" s="17"/>
      <c r="H655" s="17"/>
    </row>
    <row r="656">
      <c r="A656" s="17"/>
      <c r="B656" s="17"/>
      <c r="C656" s="17"/>
      <c r="D656" s="17"/>
      <c r="E656" s="17"/>
      <c r="F656" s="295"/>
      <c r="G656" s="17"/>
      <c r="H656" s="17"/>
    </row>
    <row r="657">
      <c r="A657" s="17"/>
      <c r="B657" s="17"/>
      <c r="C657" s="17"/>
      <c r="D657" s="17"/>
      <c r="E657" s="17"/>
      <c r="F657" s="295"/>
      <c r="G657" s="17"/>
      <c r="H657" s="17"/>
    </row>
    <row r="658">
      <c r="A658" s="17"/>
      <c r="B658" s="17"/>
      <c r="C658" s="17"/>
      <c r="D658" s="17"/>
      <c r="E658" s="17"/>
      <c r="F658" s="295"/>
      <c r="G658" s="17"/>
      <c r="H658" s="17"/>
    </row>
    <row r="659">
      <c r="A659" s="17"/>
      <c r="B659" s="17"/>
      <c r="C659" s="17"/>
      <c r="D659" s="17"/>
      <c r="E659" s="17"/>
      <c r="F659" s="295"/>
      <c r="G659" s="17"/>
      <c r="H659" s="17"/>
    </row>
    <row r="660">
      <c r="A660" s="17"/>
      <c r="B660" s="17"/>
      <c r="C660" s="17"/>
      <c r="D660" s="17"/>
      <c r="E660" s="17"/>
      <c r="F660" s="295"/>
      <c r="G660" s="17"/>
      <c r="H660" s="17"/>
    </row>
    <row r="661">
      <c r="A661" s="17"/>
      <c r="B661" s="17"/>
      <c r="C661" s="17"/>
      <c r="D661" s="17"/>
      <c r="E661" s="17"/>
      <c r="F661" s="295"/>
      <c r="G661" s="17"/>
      <c r="H661" s="17"/>
    </row>
    <row r="662">
      <c r="A662" s="17"/>
      <c r="B662" s="17"/>
      <c r="C662" s="17"/>
      <c r="D662" s="17"/>
      <c r="E662" s="17"/>
      <c r="F662" s="295"/>
      <c r="G662" s="17"/>
      <c r="H662" s="17"/>
    </row>
    <row r="663">
      <c r="A663" s="17"/>
      <c r="B663" s="17"/>
      <c r="C663" s="17"/>
      <c r="D663" s="17"/>
      <c r="E663" s="17"/>
      <c r="F663" s="295"/>
      <c r="G663" s="17"/>
      <c r="H663" s="17"/>
    </row>
    <row r="664">
      <c r="A664" s="17"/>
      <c r="B664" s="17"/>
      <c r="C664" s="17"/>
      <c r="D664" s="17"/>
      <c r="E664" s="17"/>
      <c r="F664" s="295"/>
      <c r="G664" s="17"/>
      <c r="H664" s="17"/>
    </row>
    <row r="665">
      <c r="A665" s="17"/>
      <c r="B665" s="17"/>
      <c r="C665" s="17"/>
      <c r="D665" s="17"/>
      <c r="E665" s="17"/>
      <c r="F665" s="295"/>
      <c r="G665" s="17"/>
      <c r="H665" s="17"/>
    </row>
    <row r="666">
      <c r="A666" s="17"/>
      <c r="B666" s="17"/>
      <c r="C666" s="17"/>
      <c r="D666" s="17"/>
      <c r="E666" s="17"/>
      <c r="F666" s="295"/>
      <c r="G666" s="17"/>
      <c r="H666" s="17"/>
    </row>
    <row r="667">
      <c r="A667" s="17"/>
      <c r="B667" s="17"/>
      <c r="C667" s="17"/>
      <c r="D667" s="17"/>
      <c r="E667" s="17"/>
      <c r="F667" s="295"/>
      <c r="G667" s="17"/>
      <c r="H667" s="17"/>
    </row>
    <row r="668">
      <c r="A668" s="17"/>
      <c r="B668" s="17"/>
      <c r="C668" s="17"/>
      <c r="D668" s="17"/>
      <c r="E668" s="17"/>
      <c r="F668" s="295"/>
      <c r="G668" s="17"/>
      <c r="H668" s="17"/>
    </row>
    <row r="669">
      <c r="A669" s="17"/>
      <c r="B669" s="17"/>
      <c r="C669" s="17"/>
      <c r="D669" s="17"/>
      <c r="E669" s="17"/>
      <c r="F669" s="295"/>
      <c r="G669" s="17"/>
      <c r="H669" s="17"/>
    </row>
    <row r="670">
      <c r="A670" s="17"/>
      <c r="B670" s="17"/>
      <c r="C670" s="17"/>
      <c r="D670" s="17"/>
      <c r="E670" s="17"/>
      <c r="F670" s="295"/>
      <c r="G670" s="17"/>
      <c r="H670" s="17"/>
    </row>
    <row r="671">
      <c r="A671" s="17"/>
      <c r="B671" s="17"/>
      <c r="C671" s="17"/>
      <c r="D671" s="17"/>
      <c r="E671" s="17"/>
      <c r="F671" s="295"/>
      <c r="G671" s="17"/>
      <c r="H671" s="17"/>
    </row>
    <row r="672">
      <c r="A672" s="17"/>
      <c r="B672" s="17"/>
      <c r="C672" s="17"/>
      <c r="D672" s="17"/>
      <c r="E672" s="17"/>
      <c r="F672" s="295"/>
      <c r="G672" s="17"/>
      <c r="H672" s="17"/>
    </row>
    <row r="673">
      <c r="A673" s="17"/>
      <c r="B673" s="17"/>
      <c r="C673" s="17"/>
      <c r="D673" s="17"/>
      <c r="E673" s="17"/>
      <c r="F673" s="295"/>
      <c r="G673" s="17"/>
      <c r="H673" s="17"/>
    </row>
    <row r="674">
      <c r="A674" s="17"/>
      <c r="B674" s="17"/>
      <c r="C674" s="17"/>
      <c r="D674" s="17"/>
      <c r="E674" s="17"/>
      <c r="F674" s="295"/>
      <c r="G674" s="17"/>
      <c r="H674" s="17"/>
    </row>
    <row r="675">
      <c r="A675" s="17"/>
      <c r="B675" s="17"/>
      <c r="C675" s="17"/>
      <c r="D675" s="17"/>
      <c r="E675" s="17"/>
      <c r="F675" s="295"/>
      <c r="G675" s="17"/>
      <c r="H675" s="17"/>
    </row>
    <row r="676">
      <c r="A676" s="17"/>
      <c r="B676" s="17"/>
      <c r="C676" s="17"/>
      <c r="D676" s="17"/>
      <c r="E676" s="17"/>
      <c r="F676" s="295"/>
      <c r="G676" s="17"/>
      <c r="H676" s="17"/>
    </row>
    <row r="677">
      <c r="A677" s="17"/>
      <c r="B677" s="17"/>
      <c r="C677" s="17"/>
      <c r="D677" s="17"/>
      <c r="E677" s="17"/>
      <c r="F677" s="295"/>
      <c r="G677" s="17"/>
      <c r="H677" s="17"/>
    </row>
    <row r="678">
      <c r="A678" s="17"/>
      <c r="B678" s="17"/>
      <c r="C678" s="17"/>
      <c r="D678" s="17"/>
      <c r="E678" s="17"/>
      <c r="F678" s="295"/>
      <c r="G678" s="17"/>
      <c r="H678" s="17"/>
    </row>
    <row r="679">
      <c r="A679" s="17"/>
      <c r="B679" s="17"/>
      <c r="C679" s="17"/>
      <c r="D679" s="17"/>
      <c r="E679" s="17"/>
      <c r="F679" s="295"/>
      <c r="G679" s="17"/>
      <c r="H679" s="17"/>
    </row>
    <row r="680">
      <c r="A680" s="17"/>
      <c r="B680" s="17"/>
      <c r="C680" s="17"/>
      <c r="D680" s="17"/>
      <c r="E680" s="17"/>
      <c r="F680" s="295"/>
      <c r="G680" s="17"/>
      <c r="H680" s="17"/>
    </row>
    <row r="681">
      <c r="A681" s="17"/>
      <c r="B681" s="17"/>
      <c r="C681" s="17"/>
      <c r="D681" s="17"/>
      <c r="E681" s="17"/>
      <c r="F681" s="295"/>
      <c r="G681" s="17"/>
      <c r="H681" s="17"/>
    </row>
    <row r="682">
      <c r="A682" s="17"/>
      <c r="B682" s="17"/>
      <c r="C682" s="17"/>
      <c r="D682" s="17"/>
      <c r="E682" s="17"/>
      <c r="F682" s="295"/>
      <c r="G682" s="17"/>
      <c r="H682" s="17"/>
    </row>
    <row r="683">
      <c r="A683" s="17"/>
      <c r="B683" s="17"/>
      <c r="C683" s="17"/>
      <c r="D683" s="17"/>
      <c r="E683" s="17"/>
      <c r="F683" s="295"/>
      <c r="G683" s="17"/>
      <c r="H683" s="17"/>
    </row>
    <row r="684">
      <c r="A684" s="17"/>
      <c r="B684" s="17"/>
      <c r="C684" s="17"/>
      <c r="D684" s="17"/>
      <c r="E684" s="17"/>
      <c r="F684" s="295"/>
      <c r="G684" s="17"/>
      <c r="H684" s="17"/>
    </row>
    <row r="685">
      <c r="A685" s="17"/>
      <c r="B685" s="17"/>
      <c r="C685" s="17"/>
      <c r="D685" s="17"/>
      <c r="E685" s="17"/>
      <c r="F685" s="295"/>
      <c r="G685" s="17"/>
      <c r="H685" s="17"/>
    </row>
    <row r="686">
      <c r="A686" s="17"/>
      <c r="B686" s="17"/>
      <c r="C686" s="17"/>
      <c r="D686" s="17"/>
      <c r="E686" s="17"/>
      <c r="F686" s="295"/>
      <c r="G686" s="17"/>
      <c r="H686" s="17"/>
    </row>
    <row r="687">
      <c r="A687" s="17"/>
      <c r="B687" s="17"/>
      <c r="C687" s="17"/>
      <c r="D687" s="17"/>
      <c r="E687" s="17"/>
      <c r="F687" s="295"/>
      <c r="G687" s="17"/>
      <c r="H687" s="17"/>
    </row>
    <row r="688">
      <c r="A688" s="17"/>
      <c r="B688" s="17"/>
      <c r="C688" s="17"/>
      <c r="D688" s="17"/>
      <c r="E688" s="17"/>
      <c r="F688" s="295"/>
      <c r="G688" s="17"/>
      <c r="H688" s="17"/>
    </row>
    <row r="689">
      <c r="A689" s="17"/>
      <c r="B689" s="17"/>
      <c r="C689" s="17"/>
      <c r="D689" s="17"/>
      <c r="E689" s="17"/>
      <c r="F689" s="295"/>
      <c r="G689" s="17"/>
      <c r="H689" s="17"/>
    </row>
    <row r="690">
      <c r="A690" s="17"/>
      <c r="B690" s="17"/>
      <c r="C690" s="17"/>
      <c r="D690" s="17"/>
      <c r="E690" s="17"/>
      <c r="F690" s="295"/>
      <c r="G690" s="17"/>
      <c r="H690" s="17"/>
    </row>
    <row r="691">
      <c r="A691" s="17"/>
      <c r="B691" s="17"/>
      <c r="C691" s="17"/>
      <c r="D691" s="17"/>
      <c r="E691" s="17"/>
      <c r="F691" s="295"/>
      <c r="G691" s="17"/>
      <c r="H691" s="17"/>
    </row>
    <row r="692">
      <c r="A692" s="17"/>
      <c r="B692" s="17"/>
      <c r="C692" s="17"/>
      <c r="D692" s="17"/>
      <c r="E692" s="17"/>
      <c r="F692" s="295"/>
      <c r="G692" s="17"/>
      <c r="H692" s="17"/>
    </row>
    <row r="693">
      <c r="A693" s="17"/>
      <c r="B693" s="17"/>
      <c r="C693" s="17"/>
      <c r="D693" s="17"/>
      <c r="E693" s="17"/>
      <c r="F693" s="295"/>
      <c r="G693" s="17"/>
      <c r="H693" s="17"/>
    </row>
    <row r="694">
      <c r="A694" s="17"/>
      <c r="B694" s="17"/>
      <c r="C694" s="17"/>
      <c r="D694" s="17"/>
      <c r="E694" s="17"/>
      <c r="F694" s="295"/>
      <c r="G694" s="17"/>
      <c r="H694" s="17"/>
    </row>
    <row r="695">
      <c r="A695" s="17"/>
      <c r="B695" s="17"/>
      <c r="C695" s="17"/>
      <c r="D695" s="17"/>
      <c r="E695" s="17"/>
      <c r="F695" s="295"/>
      <c r="G695" s="17"/>
      <c r="H695" s="17"/>
    </row>
    <row r="696">
      <c r="A696" s="17"/>
      <c r="B696" s="17"/>
      <c r="C696" s="17"/>
      <c r="D696" s="17"/>
      <c r="E696" s="17"/>
      <c r="F696" s="295"/>
      <c r="G696" s="17"/>
      <c r="H696" s="17"/>
    </row>
    <row r="697">
      <c r="A697" s="17"/>
      <c r="B697" s="17"/>
      <c r="C697" s="17"/>
      <c r="D697" s="17"/>
      <c r="E697" s="17"/>
      <c r="F697" s="295"/>
      <c r="G697" s="17"/>
      <c r="H697" s="17"/>
    </row>
    <row r="698">
      <c r="A698" s="17"/>
      <c r="B698" s="17"/>
      <c r="C698" s="17"/>
      <c r="D698" s="17"/>
      <c r="E698" s="17"/>
      <c r="F698" s="295"/>
      <c r="G698" s="17"/>
      <c r="H698" s="17"/>
    </row>
    <row r="699">
      <c r="A699" s="17"/>
      <c r="B699" s="17"/>
      <c r="C699" s="17"/>
      <c r="D699" s="17"/>
      <c r="E699" s="17"/>
      <c r="F699" s="295"/>
      <c r="G699" s="17"/>
      <c r="H699" s="17"/>
    </row>
    <row r="700">
      <c r="A700" s="17"/>
      <c r="B700" s="17"/>
      <c r="C700" s="17"/>
      <c r="D700" s="17"/>
      <c r="E700" s="17"/>
      <c r="F700" s="295"/>
      <c r="G700" s="17"/>
      <c r="H700" s="17"/>
    </row>
    <row r="701">
      <c r="A701" s="17"/>
      <c r="B701" s="17"/>
      <c r="C701" s="17"/>
      <c r="D701" s="17"/>
      <c r="E701" s="17"/>
      <c r="F701" s="295"/>
      <c r="G701" s="17"/>
      <c r="H701" s="17"/>
    </row>
    <row r="702">
      <c r="A702" s="17"/>
      <c r="B702" s="17"/>
      <c r="C702" s="17"/>
      <c r="D702" s="17"/>
      <c r="E702" s="17"/>
      <c r="F702" s="295"/>
      <c r="G702" s="17"/>
      <c r="H702" s="17"/>
    </row>
    <row r="703">
      <c r="A703" s="17"/>
      <c r="B703" s="17"/>
      <c r="C703" s="17"/>
      <c r="D703" s="17"/>
      <c r="E703" s="17"/>
      <c r="F703" s="295"/>
      <c r="G703" s="17"/>
      <c r="H703" s="17"/>
    </row>
    <row r="704">
      <c r="A704" s="17"/>
      <c r="B704" s="17"/>
      <c r="C704" s="17"/>
      <c r="D704" s="17"/>
      <c r="E704" s="17"/>
      <c r="F704" s="295"/>
      <c r="G704" s="17"/>
      <c r="H704" s="17"/>
    </row>
    <row r="705">
      <c r="A705" s="17"/>
      <c r="B705" s="17"/>
      <c r="C705" s="17"/>
      <c r="D705" s="17"/>
      <c r="E705" s="17"/>
      <c r="F705" s="295"/>
      <c r="G705" s="17"/>
      <c r="H705" s="17"/>
    </row>
    <row r="706">
      <c r="A706" s="17"/>
      <c r="B706" s="17"/>
      <c r="C706" s="17"/>
      <c r="D706" s="17"/>
      <c r="E706" s="17"/>
      <c r="F706" s="295"/>
      <c r="G706" s="17"/>
      <c r="H706" s="17"/>
    </row>
    <row r="707">
      <c r="A707" s="17"/>
      <c r="B707" s="17"/>
      <c r="C707" s="17"/>
      <c r="D707" s="17"/>
      <c r="E707" s="17"/>
      <c r="F707" s="295"/>
      <c r="G707" s="17"/>
      <c r="H707" s="17"/>
    </row>
    <row r="708">
      <c r="A708" s="17"/>
      <c r="B708" s="17"/>
      <c r="C708" s="17"/>
      <c r="D708" s="17"/>
      <c r="E708" s="17"/>
      <c r="F708" s="295"/>
      <c r="G708" s="17"/>
      <c r="H708" s="17"/>
    </row>
    <row r="709">
      <c r="A709" s="17"/>
      <c r="B709" s="17"/>
      <c r="C709" s="17"/>
      <c r="D709" s="17"/>
      <c r="E709" s="17"/>
      <c r="F709" s="295"/>
      <c r="G709" s="17"/>
      <c r="H709" s="17"/>
    </row>
    <row r="710">
      <c r="A710" s="17"/>
      <c r="B710" s="17"/>
      <c r="C710" s="17"/>
      <c r="D710" s="17"/>
      <c r="E710" s="17"/>
      <c r="F710" s="295"/>
      <c r="G710" s="17"/>
      <c r="H710" s="17"/>
    </row>
    <row r="711">
      <c r="A711" s="17"/>
      <c r="B711" s="17"/>
      <c r="C711" s="17"/>
      <c r="D711" s="17"/>
      <c r="E711" s="17"/>
      <c r="F711" s="295"/>
      <c r="G711" s="17"/>
      <c r="H711" s="17"/>
    </row>
    <row r="712">
      <c r="A712" s="17"/>
      <c r="B712" s="17"/>
      <c r="C712" s="17"/>
      <c r="D712" s="17"/>
      <c r="E712" s="17"/>
      <c r="F712" s="295"/>
      <c r="G712" s="17"/>
      <c r="H712" s="17"/>
    </row>
    <row r="713">
      <c r="A713" s="17"/>
      <c r="B713" s="17"/>
      <c r="C713" s="17"/>
      <c r="D713" s="17"/>
      <c r="E713" s="17"/>
      <c r="F713" s="295"/>
      <c r="G713" s="17"/>
      <c r="H713" s="17"/>
    </row>
    <row r="714">
      <c r="A714" s="17"/>
      <c r="B714" s="17"/>
      <c r="C714" s="17"/>
      <c r="D714" s="17"/>
      <c r="E714" s="17"/>
      <c r="F714" s="295"/>
      <c r="G714" s="17"/>
      <c r="H714" s="17"/>
    </row>
    <row r="715">
      <c r="A715" s="17"/>
      <c r="B715" s="17"/>
      <c r="C715" s="17"/>
      <c r="D715" s="17"/>
      <c r="E715" s="17"/>
      <c r="F715" s="295"/>
      <c r="G715" s="17"/>
      <c r="H715" s="17"/>
    </row>
    <row r="716">
      <c r="A716" s="17"/>
      <c r="B716" s="17"/>
      <c r="C716" s="17"/>
      <c r="D716" s="17"/>
      <c r="E716" s="17"/>
      <c r="F716" s="295"/>
      <c r="G716" s="17"/>
      <c r="H716" s="17"/>
    </row>
    <row r="717">
      <c r="A717" s="17"/>
      <c r="B717" s="17"/>
      <c r="C717" s="17"/>
      <c r="D717" s="17"/>
      <c r="E717" s="17"/>
      <c r="F717" s="295"/>
      <c r="G717" s="17"/>
      <c r="H717" s="17"/>
    </row>
    <row r="718">
      <c r="A718" s="17"/>
      <c r="B718" s="17"/>
      <c r="C718" s="17"/>
      <c r="D718" s="17"/>
      <c r="E718" s="17"/>
      <c r="F718" s="295"/>
      <c r="G718" s="17"/>
      <c r="H718" s="17"/>
    </row>
    <row r="719">
      <c r="A719" s="17"/>
      <c r="B719" s="17"/>
      <c r="C719" s="17"/>
      <c r="D719" s="17"/>
      <c r="E719" s="17"/>
      <c r="F719" s="295"/>
      <c r="G719" s="17"/>
      <c r="H719" s="17"/>
    </row>
    <row r="720">
      <c r="A720" s="17"/>
      <c r="B720" s="17"/>
      <c r="C720" s="17"/>
      <c r="D720" s="17"/>
      <c r="E720" s="17"/>
      <c r="F720" s="295"/>
      <c r="G720" s="17"/>
      <c r="H720" s="17"/>
    </row>
    <row r="721">
      <c r="A721" s="17"/>
      <c r="B721" s="17"/>
      <c r="C721" s="17"/>
      <c r="D721" s="17"/>
      <c r="E721" s="17"/>
      <c r="F721" s="295"/>
      <c r="G721" s="17"/>
      <c r="H721" s="17"/>
    </row>
    <row r="722">
      <c r="A722" s="17"/>
      <c r="B722" s="17"/>
      <c r="C722" s="17"/>
      <c r="D722" s="17"/>
      <c r="E722" s="17"/>
      <c r="F722" s="295"/>
      <c r="G722" s="17"/>
      <c r="H722" s="17"/>
    </row>
    <row r="723">
      <c r="A723" s="17"/>
      <c r="B723" s="17"/>
      <c r="C723" s="17"/>
      <c r="D723" s="17"/>
      <c r="E723" s="17"/>
      <c r="F723" s="295"/>
      <c r="G723" s="17"/>
      <c r="H723" s="17"/>
    </row>
    <row r="724">
      <c r="A724" s="17"/>
      <c r="B724" s="17"/>
      <c r="C724" s="17"/>
      <c r="D724" s="17"/>
      <c r="E724" s="17"/>
      <c r="F724" s="295"/>
      <c r="G724" s="17"/>
      <c r="H724" s="17"/>
    </row>
    <row r="725">
      <c r="A725" s="17"/>
      <c r="B725" s="17"/>
      <c r="C725" s="17"/>
      <c r="D725" s="17"/>
      <c r="E725" s="17"/>
      <c r="F725" s="295"/>
      <c r="G725" s="17"/>
      <c r="H725" s="17"/>
    </row>
    <row r="726">
      <c r="A726" s="17"/>
      <c r="B726" s="17"/>
      <c r="C726" s="17"/>
      <c r="D726" s="17"/>
      <c r="E726" s="17"/>
      <c r="F726" s="295"/>
      <c r="G726" s="17"/>
      <c r="H726" s="17"/>
    </row>
    <row r="727">
      <c r="A727" s="17"/>
      <c r="B727" s="17"/>
      <c r="C727" s="17"/>
      <c r="D727" s="17"/>
      <c r="E727" s="17"/>
      <c r="F727" s="295"/>
      <c r="G727" s="17"/>
      <c r="H727" s="17"/>
    </row>
    <row r="728">
      <c r="A728" s="17"/>
      <c r="B728" s="17"/>
      <c r="C728" s="17"/>
      <c r="D728" s="17"/>
      <c r="E728" s="17"/>
      <c r="F728" s="295"/>
      <c r="G728" s="17"/>
      <c r="H728" s="17"/>
    </row>
    <row r="729">
      <c r="A729" s="17"/>
      <c r="B729" s="17"/>
      <c r="C729" s="17"/>
      <c r="D729" s="17"/>
      <c r="E729" s="17"/>
      <c r="F729" s="295"/>
      <c r="G729" s="17"/>
      <c r="H729" s="17"/>
    </row>
    <row r="730">
      <c r="A730" s="17"/>
      <c r="B730" s="17"/>
      <c r="C730" s="17"/>
      <c r="D730" s="17"/>
      <c r="E730" s="17"/>
      <c r="F730" s="295"/>
      <c r="G730" s="17"/>
      <c r="H730" s="17"/>
    </row>
    <row r="731">
      <c r="A731" s="17"/>
      <c r="B731" s="17"/>
      <c r="C731" s="17"/>
      <c r="D731" s="17"/>
      <c r="E731" s="17"/>
      <c r="F731" s="295"/>
      <c r="G731" s="17"/>
      <c r="H731" s="17"/>
    </row>
    <row r="732">
      <c r="A732" s="17"/>
      <c r="B732" s="17"/>
      <c r="C732" s="17"/>
      <c r="D732" s="17"/>
      <c r="E732" s="17"/>
      <c r="F732" s="295"/>
      <c r="G732" s="17"/>
      <c r="H732" s="17"/>
    </row>
    <row r="733">
      <c r="A733" s="17"/>
      <c r="B733" s="17"/>
      <c r="C733" s="17"/>
      <c r="D733" s="17"/>
      <c r="E733" s="17"/>
      <c r="F733" s="295"/>
      <c r="G733" s="17"/>
      <c r="H733" s="17"/>
    </row>
    <row r="734">
      <c r="A734" s="17"/>
      <c r="B734" s="17"/>
      <c r="C734" s="17"/>
      <c r="D734" s="17"/>
      <c r="E734" s="17"/>
      <c r="F734" s="295"/>
      <c r="G734" s="17"/>
      <c r="H734" s="17"/>
    </row>
    <row r="735">
      <c r="A735" s="17"/>
      <c r="B735" s="17"/>
      <c r="C735" s="17"/>
      <c r="D735" s="17"/>
      <c r="E735" s="17"/>
      <c r="F735" s="295"/>
      <c r="G735" s="17"/>
      <c r="H735" s="17"/>
    </row>
    <row r="736">
      <c r="A736" s="17"/>
      <c r="B736" s="17"/>
      <c r="C736" s="17"/>
      <c r="D736" s="17"/>
      <c r="E736" s="17"/>
      <c r="F736" s="295"/>
      <c r="G736" s="17"/>
      <c r="H736" s="17"/>
    </row>
    <row r="737">
      <c r="A737" s="17"/>
      <c r="B737" s="17"/>
      <c r="C737" s="17"/>
      <c r="D737" s="17"/>
      <c r="E737" s="17"/>
      <c r="F737" s="295"/>
      <c r="G737" s="17"/>
      <c r="H737" s="17"/>
    </row>
    <row r="738">
      <c r="A738" s="17"/>
      <c r="B738" s="17"/>
      <c r="C738" s="17"/>
      <c r="D738" s="17"/>
      <c r="E738" s="17"/>
      <c r="F738" s="295"/>
      <c r="G738" s="17"/>
      <c r="H738" s="17"/>
    </row>
    <row r="739">
      <c r="A739" s="17"/>
      <c r="B739" s="17"/>
      <c r="C739" s="17"/>
      <c r="D739" s="17"/>
      <c r="E739" s="17"/>
      <c r="F739" s="295"/>
      <c r="G739" s="17"/>
      <c r="H739" s="17"/>
    </row>
    <row r="740">
      <c r="A740" s="17"/>
      <c r="B740" s="17"/>
      <c r="C740" s="17"/>
      <c r="D740" s="17"/>
      <c r="E740" s="17"/>
      <c r="F740" s="295"/>
      <c r="G740" s="17"/>
      <c r="H740" s="17"/>
    </row>
    <row r="741">
      <c r="A741" s="17"/>
      <c r="B741" s="17"/>
      <c r="C741" s="17"/>
      <c r="D741" s="17"/>
      <c r="E741" s="17"/>
      <c r="F741" s="295"/>
      <c r="G741" s="17"/>
      <c r="H741" s="17"/>
    </row>
    <row r="742">
      <c r="A742" s="17"/>
      <c r="B742" s="17"/>
      <c r="C742" s="17"/>
      <c r="D742" s="17"/>
      <c r="E742" s="17"/>
      <c r="F742" s="295"/>
      <c r="G742" s="17"/>
      <c r="H742" s="17"/>
    </row>
    <row r="743">
      <c r="A743" s="17"/>
      <c r="B743" s="17"/>
      <c r="C743" s="17"/>
      <c r="D743" s="17"/>
      <c r="E743" s="17"/>
      <c r="F743" s="295"/>
      <c r="G743" s="17"/>
      <c r="H743" s="17"/>
    </row>
    <row r="744">
      <c r="A744" s="17"/>
      <c r="B744" s="17"/>
      <c r="C744" s="17"/>
      <c r="D744" s="17"/>
      <c r="E744" s="17"/>
      <c r="F744" s="295"/>
      <c r="G744" s="17"/>
      <c r="H744" s="17"/>
    </row>
    <row r="745">
      <c r="A745" s="17"/>
      <c r="B745" s="17"/>
      <c r="C745" s="17"/>
      <c r="D745" s="17"/>
      <c r="E745" s="17"/>
      <c r="F745" s="295"/>
      <c r="G745" s="17"/>
      <c r="H745" s="17"/>
    </row>
    <row r="746">
      <c r="A746" s="17"/>
      <c r="B746" s="17"/>
      <c r="C746" s="17"/>
      <c r="D746" s="17"/>
      <c r="E746" s="17"/>
      <c r="F746" s="295"/>
      <c r="G746" s="17"/>
      <c r="H746" s="17"/>
    </row>
    <row r="747">
      <c r="A747" s="17"/>
      <c r="B747" s="17"/>
      <c r="C747" s="17"/>
      <c r="D747" s="17"/>
      <c r="E747" s="17"/>
      <c r="F747" s="295"/>
      <c r="G747" s="17"/>
      <c r="H747" s="17"/>
    </row>
    <row r="748">
      <c r="A748" s="17"/>
      <c r="B748" s="17"/>
      <c r="C748" s="17"/>
      <c r="D748" s="17"/>
      <c r="E748" s="17"/>
      <c r="F748" s="295"/>
      <c r="G748" s="17"/>
      <c r="H748" s="17"/>
    </row>
    <row r="749">
      <c r="A749" s="17"/>
      <c r="B749" s="17"/>
      <c r="C749" s="17"/>
      <c r="D749" s="17"/>
      <c r="E749" s="17"/>
      <c r="F749" s="295"/>
      <c r="G749" s="17"/>
      <c r="H749" s="17"/>
    </row>
    <row r="750">
      <c r="A750" s="17"/>
      <c r="B750" s="17"/>
      <c r="C750" s="17"/>
      <c r="D750" s="17"/>
      <c r="E750" s="17"/>
      <c r="F750" s="295"/>
      <c r="G750" s="17"/>
      <c r="H750" s="17"/>
    </row>
    <row r="751">
      <c r="A751" s="17"/>
      <c r="B751" s="17"/>
      <c r="C751" s="17"/>
      <c r="D751" s="17"/>
      <c r="E751" s="17"/>
      <c r="F751" s="295"/>
      <c r="G751" s="17"/>
      <c r="H751" s="17"/>
    </row>
    <row r="752">
      <c r="A752" s="17"/>
      <c r="B752" s="17"/>
      <c r="C752" s="17"/>
      <c r="D752" s="17"/>
      <c r="E752" s="17"/>
      <c r="F752" s="295"/>
      <c r="G752" s="17"/>
      <c r="H752" s="17"/>
    </row>
    <row r="753">
      <c r="A753" s="17"/>
      <c r="B753" s="17"/>
      <c r="C753" s="17"/>
      <c r="D753" s="17"/>
      <c r="E753" s="17"/>
      <c r="F753" s="295"/>
      <c r="G753" s="17"/>
      <c r="H753" s="17"/>
    </row>
    <row r="754">
      <c r="A754" s="17"/>
      <c r="B754" s="17"/>
      <c r="C754" s="17"/>
      <c r="D754" s="17"/>
      <c r="E754" s="17"/>
      <c r="F754" s="295"/>
      <c r="G754" s="17"/>
      <c r="H754" s="17"/>
    </row>
    <row r="755">
      <c r="A755" s="17"/>
      <c r="B755" s="17"/>
      <c r="C755" s="17"/>
      <c r="D755" s="17"/>
      <c r="E755" s="17"/>
      <c r="F755" s="295"/>
      <c r="G755" s="17"/>
      <c r="H755" s="17"/>
    </row>
    <row r="756">
      <c r="A756" s="17"/>
      <c r="B756" s="17"/>
      <c r="C756" s="17"/>
      <c r="D756" s="17"/>
      <c r="E756" s="17"/>
      <c r="F756" s="295"/>
      <c r="G756" s="17"/>
      <c r="H756" s="17"/>
    </row>
    <row r="757">
      <c r="A757" s="17"/>
      <c r="B757" s="17"/>
      <c r="C757" s="17"/>
      <c r="D757" s="17"/>
      <c r="E757" s="17"/>
      <c r="F757" s="295"/>
      <c r="G757" s="17"/>
      <c r="H757" s="17"/>
    </row>
    <row r="758">
      <c r="A758" s="17"/>
      <c r="B758" s="17"/>
      <c r="C758" s="17"/>
      <c r="D758" s="17"/>
      <c r="E758" s="17"/>
      <c r="F758" s="295"/>
      <c r="G758" s="17"/>
      <c r="H758" s="17"/>
    </row>
    <row r="759">
      <c r="A759" s="17"/>
      <c r="B759" s="17"/>
      <c r="C759" s="17"/>
      <c r="D759" s="17"/>
      <c r="E759" s="17"/>
      <c r="F759" s="295"/>
      <c r="G759" s="17"/>
      <c r="H759" s="17"/>
    </row>
    <row r="760">
      <c r="A760" s="17"/>
      <c r="B760" s="17"/>
      <c r="C760" s="17"/>
      <c r="D760" s="17"/>
      <c r="E760" s="17"/>
      <c r="F760" s="295"/>
      <c r="G760" s="17"/>
      <c r="H760" s="17"/>
    </row>
    <row r="761">
      <c r="A761" s="17"/>
      <c r="B761" s="17"/>
      <c r="C761" s="17"/>
      <c r="D761" s="17"/>
      <c r="E761" s="17"/>
      <c r="F761" s="295"/>
      <c r="G761" s="17"/>
      <c r="H761" s="17"/>
    </row>
    <row r="762">
      <c r="A762" s="17"/>
      <c r="B762" s="17"/>
      <c r="C762" s="17"/>
      <c r="D762" s="17"/>
      <c r="E762" s="17"/>
      <c r="F762" s="295"/>
      <c r="G762" s="17"/>
      <c r="H762" s="17"/>
    </row>
    <row r="763">
      <c r="A763" s="17"/>
      <c r="B763" s="17"/>
      <c r="C763" s="17"/>
      <c r="D763" s="17"/>
      <c r="E763" s="17"/>
      <c r="F763" s="295"/>
      <c r="G763" s="17"/>
      <c r="H763" s="17"/>
    </row>
    <row r="764">
      <c r="A764" s="17"/>
      <c r="B764" s="17"/>
      <c r="C764" s="17"/>
      <c r="D764" s="17"/>
      <c r="E764" s="17"/>
      <c r="F764" s="295"/>
      <c r="G764" s="17"/>
      <c r="H764" s="17"/>
    </row>
    <row r="765">
      <c r="A765" s="17"/>
      <c r="B765" s="17"/>
      <c r="C765" s="17"/>
      <c r="D765" s="17"/>
      <c r="E765" s="17"/>
      <c r="F765" s="295"/>
      <c r="G765" s="17"/>
      <c r="H765" s="17"/>
    </row>
    <row r="766">
      <c r="A766" s="17"/>
      <c r="B766" s="17"/>
      <c r="C766" s="17"/>
      <c r="D766" s="17"/>
      <c r="E766" s="17"/>
      <c r="F766" s="295"/>
      <c r="G766" s="17"/>
      <c r="H766" s="17"/>
    </row>
    <row r="767">
      <c r="A767" s="17"/>
      <c r="B767" s="17"/>
      <c r="C767" s="17"/>
      <c r="D767" s="17"/>
      <c r="E767" s="17"/>
      <c r="F767" s="295"/>
      <c r="G767" s="17"/>
      <c r="H767" s="17"/>
    </row>
    <row r="768">
      <c r="A768" s="17"/>
      <c r="B768" s="17"/>
      <c r="C768" s="17"/>
      <c r="D768" s="17"/>
      <c r="E768" s="17"/>
      <c r="F768" s="295"/>
      <c r="G768" s="17"/>
      <c r="H768" s="17"/>
    </row>
    <row r="769">
      <c r="A769" s="17"/>
      <c r="B769" s="17"/>
      <c r="C769" s="17"/>
      <c r="D769" s="17"/>
      <c r="E769" s="17"/>
      <c r="F769" s="295"/>
      <c r="G769" s="17"/>
      <c r="H769" s="17"/>
    </row>
    <row r="770">
      <c r="A770" s="17"/>
      <c r="B770" s="17"/>
      <c r="C770" s="17"/>
      <c r="D770" s="17"/>
      <c r="E770" s="17"/>
      <c r="F770" s="295"/>
      <c r="G770" s="17"/>
      <c r="H770" s="17"/>
    </row>
    <row r="771">
      <c r="A771" s="17"/>
      <c r="B771" s="17"/>
      <c r="C771" s="17"/>
      <c r="D771" s="17"/>
      <c r="E771" s="17"/>
      <c r="F771" s="295"/>
      <c r="G771" s="17"/>
      <c r="H771" s="17"/>
    </row>
    <row r="772">
      <c r="A772" s="17"/>
      <c r="B772" s="17"/>
      <c r="C772" s="17"/>
      <c r="D772" s="17"/>
      <c r="E772" s="17"/>
      <c r="F772" s="295"/>
      <c r="G772" s="17"/>
      <c r="H772" s="17"/>
    </row>
    <row r="773">
      <c r="A773" s="17"/>
      <c r="B773" s="17"/>
      <c r="C773" s="17"/>
      <c r="D773" s="17"/>
      <c r="E773" s="17"/>
      <c r="F773" s="295"/>
      <c r="G773" s="17"/>
      <c r="H773" s="17"/>
    </row>
    <row r="774">
      <c r="A774" s="17"/>
      <c r="B774" s="17"/>
      <c r="C774" s="17"/>
      <c r="D774" s="17"/>
      <c r="E774" s="17"/>
      <c r="F774" s="295"/>
      <c r="G774" s="17"/>
      <c r="H774" s="17"/>
    </row>
    <row r="775">
      <c r="A775" s="17"/>
      <c r="B775" s="17"/>
      <c r="C775" s="17"/>
      <c r="D775" s="17"/>
      <c r="E775" s="17"/>
      <c r="F775" s="295"/>
      <c r="G775" s="17"/>
      <c r="H775" s="17"/>
    </row>
    <row r="776">
      <c r="A776" s="17"/>
      <c r="B776" s="17"/>
      <c r="C776" s="17"/>
      <c r="D776" s="17"/>
      <c r="E776" s="17"/>
      <c r="F776" s="295"/>
      <c r="G776" s="17"/>
      <c r="H776" s="17"/>
    </row>
    <row r="777">
      <c r="A777" s="17"/>
      <c r="B777" s="17"/>
      <c r="C777" s="17"/>
      <c r="D777" s="17"/>
      <c r="E777" s="17"/>
      <c r="F777" s="295"/>
      <c r="G777" s="17"/>
      <c r="H777" s="17"/>
    </row>
    <row r="778">
      <c r="A778" s="17"/>
      <c r="B778" s="17"/>
      <c r="C778" s="17"/>
      <c r="D778" s="17"/>
      <c r="E778" s="17"/>
      <c r="F778" s="295"/>
      <c r="G778" s="17"/>
      <c r="H778" s="17"/>
    </row>
    <row r="779">
      <c r="A779" s="17"/>
      <c r="B779" s="17"/>
      <c r="C779" s="17"/>
      <c r="D779" s="17"/>
      <c r="E779" s="17"/>
      <c r="F779" s="295"/>
      <c r="G779" s="17"/>
      <c r="H779" s="17"/>
    </row>
    <row r="780">
      <c r="A780" s="17"/>
      <c r="B780" s="17"/>
      <c r="C780" s="17"/>
      <c r="D780" s="17"/>
      <c r="E780" s="17"/>
      <c r="F780" s="295"/>
      <c r="G780" s="17"/>
      <c r="H780" s="17"/>
    </row>
    <row r="781">
      <c r="A781" s="17"/>
      <c r="B781" s="17"/>
      <c r="C781" s="17"/>
      <c r="D781" s="17"/>
      <c r="E781" s="17"/>
      <c r="F781" s="295"/>
      <c r="G781" s="17"/>
      <c r="H781" s="17"/>
    </row>
    <row r="782">
      <c r="A782" s="17"/>
      <c r="B782" s="17"/>
      <c r="C782" s="17"/>
      <c r="D782" s="17"/>
      <c r="E782" s="17"/>
      <c r="F782" s="295"/>
      <c r="G782" s="17"/>
      <c r="H782" s="17"/>
    </row>
    <row r="783">
      <c r="A783" s="17"/>
      <c r="B783" s="17"/>
      <c r="C783" s="17"/>
      <c r="D783" s="17"/>
      <c r="E783" s="17"/>
      <c r="F783" s="295"/>
      <c r="G783" s="17"/>
      <c r="H783" s="17"/>
    </row>
    <row r="784">
      <c r="A784" s="17"/>
      <c r="B784" s="17"/>
      <c r="C784" s="17"/>
      <c r="D784" s="17"/>
      <c r="E784" s="17"/>
      <c r="F784" s="295"/>
      <c r="G784" s="17"/>
      <c r="H784" s="17"/>
    </row>
    <row r="785">
      <c r="A785" s="17"/>
      <c r="B785" s="17"/>
      <c r="C785" s="17"/>
      <c r="D785" s="17"/>
      <c r="E785" s="17"/>
      <c r="F785" s="295"/>
      <c r="G785" s="17"/>
      <c r="H785" s="17"/>
    </row>
    <row r="786">
      <c r="A786" s="17"/>
      <c r="B786" s="17"/>
      <c r="C786" s="17"/>
      <c r="D786" s="17"/>
      <c r="E786" s="17"/>
      <c r="F786" s="295"/>
      <c r="G786" s="17"/>
      <c r="H786" s="17"/>
    </row>
    <row r="787">
      <c r="A787" s="17"/>
      <c r="B787" s="17"/>
      <c r="C787" s="17"/>
      <c r="D787" s="17"/>
      <c r="E787" s="17"/>
      <c r="F787" s="295"/>
      <c r="G787" s="17"/>
      <c r="H787" s="17"/>
    </row>
    <row r="788">
      <c r="A788" s="17"/>
      <c r="B788" s="17"/>
      <c r="C788" s="17"/>
      <c r="D788" s="17"/>
      <c r="E788" s="17"/>
      <c r="F788" s="295"/>
      <c r="G788" s="17"/>
      <c r="H788" s="17"/>
    </row>
    <row r="789">
      <c r="A789" s="17"/>
      <c r="B789" s="17"/>
      <c r="C789" s="17"/>
      <c r="D789" s="17"/>
      <c r="E789" s="17"/>
      <c r="F789" s="295"/>
      <c r="G789" s="17"/>
      <c r="H789" s="17"/>
    </row>
    <row r="790">
      <c r="A790" s="17"/>
      <c r="B790" s="17"/>
      <c r="C790" s="17"/>
      <c r="D790" s="17"/>
      <c r="E790" s="17"/>
      <c r="F790" s="295"/>
      <c r="G790" s="17"/>
      <c r="H790" s="17"/>
    </row>
    <row r="791">
      <c r="A791" s="17"/>
      <c r="B791" s="17"/>
      <c r="C791" s="17"/>
      <c r="D791" s="17"/>
      <c r="E791" s="17"/>
      <c r="F791" s="295"/>
      <c r="G791" s="17"/>
      <c r="H791" s="17"/>
    </row>
    <row r="792">
      <c r="A792" s="17"/>
      <c r="B792" s="17"/>
      <c r="C792" s="17"/>
      <c r="D792" s="17"/>
      <c r="E792" s="17"/>
      <c r="F792" s="295"/>
      <c r="G792" s="17"/>
      <c r="H792" s="17"/>
    </row>
    <row r="793">
      <c r="A793" s="17"/>
      <c r="B793" s="17"/>
      <c r="C793" s="17"/>
      <c r="D793" s="17"/>
      <c r="E793" s="17"/>
      <c r="F793" s="295"/>
      <c r="G793" s="17"/>
      <c r="H793" s="17"/>
    </row>
    <row r="794">
      <c r="A794" s="17"/>
      <c r="B794" s="17"/>
      <c r="C794" s="17"/>
      <c r="D794" s="17"/>
      <c r="E794" s="17"/>
      <c r="F794" s="295"/>
      <c r="G794" s="17"/>
      <c r="H794" s="17"/>
    </row>
    <row r="795">
      <c r="A795" s="17"/>
      <c r="B795" s="17"/>
      <c r="C795" s="17"/>
      <c r="D795" s="17"/>
      <c r="E795" s="17"/>
      <c r="F795" s="295"/>
      <c r="G795" s="17"/>
      <c r="H795" s="17"/>
    </row>
    <row r="796">
      <c r="A796" s="17"/>
      <c r="B796" s="17"/>
      <c r="C796" s="17"/>
      <c r="D796" s="17"/>
      <c r="E796" s="17"/>
      <c r="F796" s="295"/>
      <c r="G796" s="17"/>
      <c r="H796" s="17"/>
    </row>
    <row r="797">
      <c r="A797" s="17"/>
      <c r="B797" s="17"/>
      <c r="C797" s="17"/>
      <c r="D797" s="17"/>
      <c r="E797" s="17"/>
      <c r="F797" s="295"/>
      <c r="G797" s="17"/>
      <c r="H797" s="17"/>
    </row>
    <row r="798">
      <c r="A798" s="17"/>
      <c r="B798" s="17"/>
      <c r="C798" s="17"/>
      <c r="D798" s="17"/>
      <c r="E798" s="17"/>
      <c r="F798" s="295"/>
      <c r="G798" s="17"/>
      <c r="H798" s="17"/>
    </row>
    <row r="799">
      <c r="A799" s="17"/>
      <c r="B799" s="17"/>
      <c r="C799" s="17"/>
      <c r="D799" s="17"/>
      <c r="E799" s="17"/>
      <c r="F799" s="295"/>
      <c r="G799" s="17"/>
      <c r="H799" s="17"/>
    </row>
    <row r="800">
      <c r="A800" s="17"/>
      <c r="B800" s="17"/>
      <c r="C800" s="17"/>
      <c r="D800" s="17"/>
      <c r="E800" s="17"/>
      <c r="F800" s="295"/>
      <c r="G800" s="17"/>
      <c r="H800" s="17"/>
    </row>
    <row r="801">
      <c r="A801" s="17"/>
      <c r="B801" s="17"/>
      <c r="C801" s="17"/>
      <c r="D801" s="17"/>
      <c r="E801" s="17"/>
      <c r="F801" s="295"/>
      <c r="G801" s="17"/>
      <c r="H801" s="17"/>
    </row>
    <row r="802">
      <c r="A802" s="17"/>
      <c r="B802" s="17"/>
      <c r="C802" s="17"/>
      <c r="D802" s="17"/>
      <c r="E802" s="17"/>
      <c r="F802" s="295"/>
      <c r="G802" s="17"/>
      <c r="H802" s="17"/>
    </row>
    <row r="803">
      <c r="A803" s="17"/>
      <c r="B803" s="17"/>
      <c r="C803" s="17"/>
      <c r="D803" s="17"/>
      <c r="E803" s="17"/>
      <c r="F803" s="295"/>
      <c r="G803" s="17"/>
      <c r="H803" s="17"/>
    </row>
    <row r="804">
      <c r="A804" s="17"/>
      <c r="B804" s="17"/>
      <c r="C804" s="17"/>
      <c r="D804" s="17"/>
      <c r="E804" s="17"/>
      <c r="F804" s="295"/>
      <c r="G804" s="17"/>
      <c r="H804" s="17"/>
    </row>
    <row r="805">
      <c r="A805" s="17"/>
      <c r="B805" s="17"/>
      <c r="C805" s="17"/>
      <c r="D805" s="17"/>
      <c r="E805" s="17"/>
      <c r="F805" s="295"/>
      <c r="G805" s="17"/>
      <c r="H805" s="17"/>
    </row>
    <row r="806">
      <c r="A806" s="17"/>
      <c r="B806" s="17"/>
      <c r="C806" s="17"/>
      <c r="D806" s="17"/>
      <c r="E806" s="17"/>
      <c r="F806" s="295"/>
      <c r="G806" s="17"/>
      <c r="H806" s="17"/>
    </row>
    <row r="807">
      <c r="A807" s="17"/>
      <c r="B807" s="17"/>
      <c r="C807" s="17"/>
      <c r="D807" s="17"/>
      <c r="E807" s="17"/>
      <c r="F807" s="295"/>
      <c r="G807" s="17"/>
      <c r="H807" s="17"/>
    </row>
    <row r="808">
      <c r="A808" s="17"/>
      <c r="B808" s="17"/>
      <c r="C808" s="17"/>
      <c r="D808" s="17"/>
      <c r="E808" s="17"/>
      <c r="F808" s="295"/>
      <c r="G808" s="17"/>
      <c r="H808" s="17"/>
    </row>
    <row r="809">
      <c r="A809" s="17"/>
      <c r="B809" s="17"/>
      <c r="C809" s="17"/>
      <c r="D809" s="17"/>
      <c r="E809" s="17"/>
      <c r="F809" s="295"/>
      <c r="G809" s="17"/>
      <c r="H809" s="17"/>
    </row>
    <row r="810">
      <c r="A810" s="17"/>
      <c r="B810" s="17"/>
      <c r="C810" s="17"/>
      <c r="D810" s="17"/>
      <c r="E810" s="17"/>
      <c r="F810" s="295"/>
      <c r="G810" s="17"/>
      <c r="H810" s="17"/>
    </row>
    <row r="811">
      <c r="A811" s="17"/>
      <c r="B811" s="17"/>
      <c r="C811" s="17"/>
      <c r="D811" s="17"/>
      <c r="E811" s="17"/>
      <c r="F811" s="295"/>
      <c r="G811" s="17"/>
      <c r="H811" s="17"/>
    </row>
    <row r="812">
      <c r="A812" s="17"/>
      <c r="B812" s="17"/>
      <c r="C812" s="17"/>
      <c r="D812" s="17"/>
      <c r="E812" s="17"/>
      <c r="F812" s="295"/>
      <c r="G812" s="17"/>
      <c r="H812" s="17"/>
    </row>
    <row r="813">
      <c r="A813" s="17"/>
      <c r="B813" s="17"/>
      <c r="C813" s="17"/>
      <c r="D813" s="17"/>
      <c r="E813" s="17"/>
      <c r="F813" s="295"/>
      <c r="G813" s="17"/>
      <c r="H813" s="17"/>
    </row>
    <row r="814">
      <c r="A814" s="17"/>
      <c r="B814" s="17"/>
      <c r="C814" s="17"/>
      <c r="D814" s="17"/>
      <c r="E814" s="17"/>
      <c r="F814" s="295"/>
      <c r="G814" s="17"/>
      <c r="H814" s="17"/>
    </row>
    <row r="815">
      <c r="A815" s="17"/>
      <c r="B815" s="17"/>
      <c r="C815" s="17"/>
      <c r="D815" s="17"/>
      <c r="E815" s="17"/>
      <c r="F815" s="295"/>
      <c r="G815" s="17"/>
      <c r="H815" s="17"/>
    </row>
    <row r="816">
      <c r="A816" s="17"/>
      <c r="B816" s="17"/>
      <c r="C816" s="17"/>
      <c r="D816" s="17"/>
      <c r="E816" s="17"/>
      <c r="F816" s="295"/>
      <c r="G816" s="17"/>
      <c r="H816" s="17"/>
    </row>
    <row r="817">
      <c r="A817" s="17"/>
      <c r="B817" s="17"/>
      <c r="C817" s="17"/>
      <c r="D817" s="17"/>
      <c r="E817" s="17"/>
      <c r="F817" s="295"/>
      <c r="G817" s="17"/>
      <c r="H817" s="17"/>
    </row>
    <row r="818">
      <c r="A818" s="17"/>
      <c r="B818" s="17"/>
      <c r="C818" s="17"/>
      <c r="D818" s="17"/>
      <c r="E818" s="17"/>
      <c r="F818" s="295"/>
      <c r="G818" s="17"/>
      <c r="H818" s="17"/>
    </row>
    <row r="819">
      <c r="A819" s="17"/>
      <c r="B819" s="17"/>
      <c r="C819" s="17"/>
      <c r="D819" s="17"/>
      <c r="E819" s="17"/>
      <c r="F819" s="295"/>
      <c r="G819" s="17"/>
      <c r="H819" s="17"/>
    </row>
    <row r="820">
      <c r="A820" s="17"/>
      <c r="B820" s="17"/>
      <c r="C820" s="17"/>
      <c r="D820" s="17"/>
      <c r="E820" s="17"/>
      <c r="F820" s="295"/>
      <c r="G820" s="17"/>
      <c r="H820" s="17"/>
    </row>
    <row r="821">
      <c r="A821" s="17"/>
      <c r="B821" s="17"/>
      <c r="C821" s="17"/>
      <c r="D821" s="17"/>
      <c r="E821" s="17"/>
      <c r="F821" s="295"/>
      <c r="G821" s="17"/>
      <c r="H821" s="17"/>
    </row>
    <row r="822">
      <c r="A822" s="17"/>
      <c r="B822" s="17"/>
      <c r="C822" s="17"/>
      <c r="D822" s="17"/>
      <c r="E822" s="17"/>
      <c r="F822" s="295"/>
      <c r="G822" s="17"/>
      <c r="H822" s="17"/>
    </row>
    <row r="823">
      <c r="A823" s="17"/>
      <c r="B823" s="17"/>
      <c r="C823" s="17"/>
      <c r="D823" s="17"/>
      <c r="E823" s="17"/>
      <c r="F823" s="295"/>
      <c r="G823" s="17"/>
      <c r="H823" s="17"/>
    </row>
    <row r="824">
      <c r="A824" s="17"/>
      <c r="B824" s="17"/>
      <c r="C824" s="17"/>
      <c r="D824" s="17"/>
      <c r="E824" s="17"/>
      <c r="F824" s="295"/>
      <c r="G824" s="17"/>
      <c r="H824" s="17"/>
    </row>
    <row r="825">
      <c r="A825" s="17"/>
      <c r="B825" s="17"/>
      <c r="C825" s="17"/>
      <c r="D825" s="17"/>
      <c r="E825" s="17"/>
      <c r="F825" s="295"/>
      <c r="G825" s="17"/>
      <c r="H825" s="17"/>
    </row>
    <row r="826">
      <c r="A826" s="17"/>
      <c r="B826" s="17"/>
      <c r="C826" s="17"/>
      <c r="D826" s="17"/>
      <c r="E826" s="17"/>
      <c r="F826" s="295"/>
      <c r="G826" s="17"/>
      <c r="H826" s="17"/>
    </row>
    <row r="827">
      <c r="A827" s="17"/>
      <c r="B827" s="17"/>
      <c r="C827" s="17"/>
      <c r="D827" s="17"/>
      <c r="E827" s="17"/>
      <c r="F827" s="295"/>
      <c r="G827" s="17"/>
      <c r="H827" s="17"/>
    </row>
    <row r="828">
      <c r="A828" s="17"/>
      <c r="B828" s="17"/>
      <c r="C828" s="17"/>
      <c r="D828" s="17"/>
      <c r="E828" s="17"/>
      <c r="F828" s="295"/>
      <c r="G828" s="17"/>
      <c r="H828" s="17"/>
    </row>
    <row r="829">
      <c r="A829" s="17"/>
      <c r="B829" s="17"/>
      <c r="C829" s="17"/>
      <c r="D829" s="17"/>
      <c r="E829" s="17"/>
      <c r="F829" s="295"/>
      <c r="G829" s="17"/>
      <c r="H829" s="17"/>
    </row>
    <row r="830">
      <c r="A830" s="17"/>
      <c r="B830" s="17"/>
      <c r="C830" s="17"/>
      <c r="D830" s="17"/>
      <c r="E830" s="17"/>
      <c r="F830" s="295"/>
      <c r="G830" s="17"/>
      <c r="H830" s="17"/>
    </row>
    <row r="831">
      <c r="A831" s="17"/>
      <c r="B831" s="17"/>
      <c r="C831" s="17"/>
      <c r="D831" s="17"/>
      <c r="E831" s="17"/>
      <c r="F831" s="295"/>
      <c r="G831" s="17"/>
      <c r="H831" s="17"/>
    </row>
    <row r="832">
      <c r="A832" s="17"/>
      <c r="B832" s="17"/>
      <c r="C832" s="17"/>
      <c r="D832" s="17"/>
      <c r="E832" s="17"/>
      <c r="F832" s="295"/>
      <c r="G832" s="17"/>
      <c r="H832" s="17"/>
    </row>
    <row r="833">
      <c r="A833" s="17"/>
      <c r="B833" s="17"/>
      <c r="C833" s="17"/>
      <c r="D833" s="17"/>
      <c r="E833" s="17"/>
      <c r="F833" s="295"/>
      <c r="G833" s="17"/>
      <c r="H833" s="17"/>
    </row>
    <row r="834">
      <c r="A834" s="17"/>
      <c r="B834" s="17"/>
      <c r="C834" s="17"/>
      <c r="D834" s="17"/>
      <c r="E834" s="17"/>
      <c r="F834" s="295"/>
      <c r="G834" s="17"/>
      <c r="H834" s="17"/>
    </row>
    <row r="835">
      <c r="A835" s="17"/>
      <c r="B835" s="17"/>
      <c r="C835" s="17"/>
      <c r="D835" s="17"/>
      <c r="E835" s="17"/>
      <c r="F835" s="295"/>
      <c r="G835" s="17"/>
      <c r="H835" s="17"/>
    </row>
    <row r="836">
      <c r="A836" s="17"/>
      <c r="B836" s="17"/>
      <c r="C836" s="17"/>
      <c r="D836" s="17"/>
      <c r="E836" s="17"/>
      <c r="F836" s="295"/>
      <c r="G836" s="17"/>
      <c r="H836" s="17"/>
    </row>
    <row r="837">
      <c r="A837" s="17"/>
      <c r="B837" s="17"/>
      <c r="C837" s="17"/>
      <c r="D837" s="17"/>
      <c r="E837" s="17"/>
      <c r="F837" s="295"/>
      <c r="G837" s="17"/>
      <c r="H837" s="17"/>
    </row>
    <row r="838">
      <c r="A838" s="17"/>
      <c r="B838" s="17"/>
      <c r="C838" s="17"/>
      <c r="D838" s="17"/>
      <c r="E838" s="17"/>
      <c r="F838" s="295"/>
      <c r="G838" s="17"/>
      <c r="H838" s="17"/>
    </row>
    <row r="839">
      <c r="A839" s="17"/>
      <c r="B839" s="17"/>
      <c r="C839" s="17"/>
      <c r="D839" s="17"/>
      <c r="E839" s="17"/>
      <c r="F839" s="295"/>
      <c r="G839" s="17"/>
      <c r="H839" s="17"/>
    </row>
    <row r="840">
      <c r="A840" s="17"/>
      <c r="B840" s="17"/>
      <c r="C840" s="17"/>
      <c r="D840" s="17"/>
      <c r="E840" s="17"/>
      <c r="F840" s="295"/>
      <c r="G840" s="17"/>
      <c r="H840" s="17"/>
    </row>
    <row r="841">
      <c r="A841" s="17"/>
      <c r="B841" s="17"/>
      <c r="C841" s="17"/>
      <c r="D841" s="17"/>
      <c r="E841" s="17"/>
      <c r="F841" s="295"/>
      <c r="G841" s="17"/>
      <c r="H841" s="17"/>
    </row>
    <row r="842">
      <c r="A842" s="17"/>
      <c r="B842" s="17"/>
      <c r="C842" s="17"/>
      <c r="D842" s="17"/>
      <c r="E842" s="17"/>
      <c r="F842" s="295"/>
      <c r="G842" s="17"/>
      <c r="H842" s="17"/>
    </row>
    <row r="843">
      <c r="A843" s="17"/>
      <c r="B843" s="17"/>
      <c r="C843" s="17"/>
      <c r="D843" s="17"/>
      <c r="E843" s="17"/>
      <c r="F843" s="295"/>
      <c r="G843" s="17"/>
      <c r="H843" s="17"/>
    </row>
    <row r="844">
      <c r="A844" s="17"/>
      <c r="B844" s="17"/>
      <c r="C844" s="17"/>
      <c r="D844" s="17"/>
      <c r="E844" s="17"/>
      <c r="F844" s="295"/>
      <c r="G844" s="17"/>
      <c r="H844" s="17"/>
    </row>
    <row r="845">
      <c r="A845" s="17"/>
      <c r="B845" s="17"/>
      <c r="C845" s="17"/>
      <c r="D845" s="17"/>
      <c r="E845" s="17"/>
      <c r="F845" s="295"/>
      <c r="G845" s="17"/>
      <c r="H845" s="17"/>
    </row>
    <row r="846">
      <c r="A846" s="17"/>
      <c r="B846" s="17"/>
      <c r="C846" s="17"/>
      <c r="D846" s="17"/>
      <c r="E846" s="17"/>
      <c r="F846" s="295"/>
      <c r="G846" s="17"/>
      <c r="H846" s="17"/>
    </row>
    <row r="847">
      <c r="A847" s="17"/>
      <c r="B847" s="17"/>
      <c r="C847" s="17"/>
      <c r="D847" s="17"/>
      <c r="E847" s="17"/>
      <c r="F847" s="295"/>
      <c r="G847" s="17"/>
      <c r="H847" s="17"/>
    </row>
    <row r="848">
      <c r="A848" s="17"/>
      <c r="B848" s="17"/>
      <c r="C848" s="17"/>
      <c r="D848" s="17"/>
      <c r="E848" s="17"/>
      <c r="F848" s="295"/>
      <c r="G848" s="17"/>
      <c r="H848" s="17"/>
    </row>
    <row r="849">
      <c r="A849" s="17"/>
      <c r="B849" s="17"/>
      <c r="C849" s="17"/>
      <c r="D849" s="17"/>
      <c r="E849" s="17"/>
      <c r="F849" s="295"/>
      <c r="G849" s="17"/>
      <c r="H849" s="17"/>
    </row>
    <row r="850">
      <c r="A850" s="17"/>
      <c r="B850" s="17"/>
      <c r="C850" s="17"/>
      <c r="D850" s="17"/>
      <c r="E850" s="17"/>
      <c r="F850" s="295"/>
      <c r="G850" s="17"/>
      <c r="H850" s="17"/>
    </row>
    <row r="851">
      <c r="A851" s="17"/>
      <c r="B851" s="17"/>
      <c r="C851" s="17"/>
      <c r="D851" s="17"/>
      <c r="E851" s="17"/>
      <c r="F851" s="295"/>
      <c r="G851" s="17"/>
      <c r="H851" s="17"/>
    </row>
    <row r="852">
      <c r="A852" s="17"/>
      <c r="B852" s="17"/>
      <c r="C852" s="17"/>
      <c r="D852" s="17"/>
      <c r="E852" s="17"/>
      <c r="F852" s="295"/>
      <c r="G852" s="17"/>
      <c r="H852" s="17"/>
    </row>
    <row r="853">
      <c r="A853" s="17"/>
      <c r="B853" s="17"/>
      <c r="C853" s="17"/>
      <c r="D853" s="17"/>
      <c r="E853" s="17"/>
      <c r="F853" s="295"/>
      <c r="G853" s="17"/>
      <c r="H853" s="17"/>
    </row>
    <row r="854">
      <c r="A854" s="17"/>
      <c r="B854" s="17"/>
      <c r="C854" s="17"/>
      <c r="D854" s="17"/>
      <c r="E854" s="17"/>
      <c r="F854" s="295"/>
      <c r="G854" s="17"/>
      <c r="H854" s="17"/>
    </row>
    <row r="855">
      <c r="A855" s="17"/>
      <c r="B855" s="17"/>
      <c r="C855" s="17"/>
      <c r="D855" s="17"/>
      <c r="E855" s="17"/>
      <c r="F855" s="295"/>
      <c r="G855" s="17"/>
      <c r="H855" s="17"/>
    </row>
    <row r="856">
      <c r="A856" s="17"/>
      <c r="B856" s="17"/>
      <c r="C856" s="17"/>
      <c r="D856" s="17"/>
      <c r="E856" s="17"/>
      <c r="F856" s="295"/>
      <c r="G856" s="17"/>
      <c r="H856" s="17"/>
    </row>
    <row r="857">
      <c r="A857" s="17"/>
      <c r="B857" s="17"/>
      <c r="C857" s="17"/>
      <c r="D857" s="17"/>
      <c r="E857" s="17"/>
      <c r="F857" s="295"/>
      <c r="G857" s="17"/>
      <c r="H857" s="17"/>
    </row>
    <row r="858">
      <c r="A858" s="17"/>
      <c r="B858" s="17"/>
      <c r="C858" s="17"/>
      <c r="D858" s="17"/>
      <c r="E858" s="17"/>
      <c r="F858" s="295"/>
      <c r="G858" s="17"/>
      <c r="H858" s="17"/>
    </row>
    <row r="859">
      <c r="A859" s="17"/>
      <c r="B859" s="17"/>
      <c r="C859" s="17"/>
      <c r="D859" s="17"/>
      <c r="E859" s="17"/>
      <c r="F859" s="295"/>
      <c r="G859" s="17"/>
      <c r="H859" s="17"/>
    </row>
    <row r="860">
      <c r="A860" s="17"/>
      <c r="B860" s="17"/>
      <c r="C860" s="17"/>
      <c r="D860" s="17"/>
      <c r="E860" s="17"/>
      <c r="F860" s="295"/>
      <c r="G860" s="17"/>
      <c r="H860" s="17"/>
    </row>
    <row r="861">
      <c r="A861" s="17"/>
      <c r="B861" s="17"/>
      <c r="C861" s="17"/>
      <c r="D861" s="17"/>
      <c r="E861" s="17"/>
      <c r="F861" s="295"/>
      <c r="G861" s="17"/>
      <c r="H861" s="17"/>
    </row>
    <row r="862">
      <c r="A862" s="17"/>
      <c r="B862" s="17"/>
      <c r="C862" s="17"/>
      <c r="D862" s="17"/>
      <c r="E862" s="17"/>
      <c r="F862" s="295"/>
      <c r="G862" s="17"/>
      <c r="H862" s="17"/>
    </row>
    <row r="863">
      <c r="A863" s="17"/>
      <c r="B863" s="17"/>
      <c r="C863" s="17"/>
      <c r="D863" s="17"/>
      <c r="E863" s="17"/>
      <c r="F863" s="295"/>
      <c r="G863" s="17"/>
      <c r="H863" s="17"/>
    </row>
    <row r="864">
      <c r="A864" s="17"/>
      <c r="B864" s="17"/>
      <c r="C864" s="17"/>
      <c r="D864" s="17"/>
      <c r="E864" s="17"/>
      <c r="F864" s="295"/>
      <c r="G864" s="17"/>
      <c r="H864" s="17"/>
    </row>
    <row r="865">
      <c r="A865" s="17"/>
      <c r="B865" s="17"/>
      <c r="C865" s="17"/>
      <c r="D865" s="17"/>
      <c r="E865" s="17"/>
      <c r="F865" s="295"/>
      <c r="G865" s="17"/>
      <c r="H865" s="17"/>
    </row>
    <row r="866">
      <c r="A866" s="17"/>
      <c r="B866" s="17"/>
      <c r="C866" s="17"/>
      <c r="D866" s="17"/>
      <c r="E866" s="17"/>
      <c r="F866" s="295"/>
      <c r="G866" s="17"/>
      <c r="H866" s="17"/>
    </row>
    <row r="867">
      <c r="A867" s="17"/>
      <c r="B867" s="17"/>
      <c r="C867" s="17"/>
      <c r="D867" s="17"/>
      <c r="E867" s="17"/>
      <c r="F867" s="295"/>
      <c r="G867" s="17"/>
      <c r="H867" s="17"/>
    </row>
    <row r="868">
      <c r="A868" s="17"/>
      <c r="B868" s="17"/>
      <c r="C868" s="17"/>
      <c r="D868" s="17"/>
      <c r="E868" s="17"/>
      <c r="F868" s="295"/>
      <c r="G868" s="17"/>
      <c r="H868" s="17"/>
    </row>
    <row r="869">
      <c r="A869" s="17"/>
      <c r="B869" s="17"/>
      <c r="C869" s="17"/>
      <c r="D869" s="17"/>
      <c r="E869" s="17"/>
      <c r="F869" s="295"/>
      <c r="G869" s="17"/>
      <c r="H869" s="17"/>
    </row>
    <row r="870">
      <c r="A870" s="17"/>
      <c r="B870" s="17"/>
      <c r="C870" s="17"/>
      <c r="D870" s="17"/>
      <c r="E870" s="17"/>
      <c r="F870" s="295"/>
      <c r="G870" s="17"/>
      <c r="H870" s="17"/>
    </row>
    <row r="871">
      <c r="A871" s="17"/>
      <c r="B871" s="17"/>
      <c r="C871" s="17"/>
      <c r="D871" s="17"/>
      <c r="E871" s="17"/>
      <c r="F871" s="295"/>
      <c r="G871" s="17"/>
      <c r="H871" s="17"/>
    </row>
    <row r="872">
      <c r="A872" s="17"/>
      <c r="B872" s="17"/>
      <c r="C872" s="17"/>
      <c r="D872" s="17"/>
      <c r="E872" s="17"/>
      <c r="F872" s="295"/>
      <c r="G872" s="17"/>
      <c r="H872" s="17"/>
    </row>
    <row r="873">
      <c r="A873" s="17"/>
      <c r="B873" s="17"/>
      <c r="C873" s="17"/>
      <c r="D873" s="17"/>
      <c r="E873" s="17"/>
      <c r="F873" s="295"/>
      <c r="G873" s="17"/>
      <c r="H873" s="17"/>
    </row>
    <row r="874">
      <c r="A874" s="17"/>
      <c r="B874" s="17"/>
      <c r="C874" s="17"/>
      <c r="D874" s="17"/>
      <c r="E874" s="17"/>
      <c r="F874" s="295"/>
      <c r="G874" s="17"/>
      <c r="H874" s="17"/>
    </row>
    <row r="875">
      <c r="A875" s="17"/>
      <c r="B875" s="17"/>
      <c r="C875" s="17"/>
      <c r="D875" s="17"/>
      <c r="E875" s="17"/>
      <c r="F875" s="295"/>
      <c r="G875" s="17"/>
      <c r="H875" s="17"/>
    </row>
    <row r="876">
      <c r="A876" s="17"/>
      <c r="B876" s="17"/>
      <c r="C876" s="17"/>
      <c r="D876" s="17"/>
      <c r="E876" s="17"/>
      <c r="F876" s="295"/>
      <c r="G876" s="17"/>
      <c r="H876" s="17"/>
    </row>
    <row r="877">
      <c r="A877" s="17"/>
      <c r="B877" s="17"/>
      <c r="C877" s="17"/>
      <c r="D877" s="17"/>
      <c r="E877" s="17"/>
      <c r="F877" s="295"/>
      <c r="G877" s="17"/>
      <c r="H877" s="17"/>
    </row>
    <row r="878">
      <c r="A878" s="17"/>
      <c r="B878" s="17"/>
      <c r="C878" s="17"/>
      <c r="D878" s="17"/>
      <c r="E878" s="17"/>
      <c r="F878" s="295"/>
      <c r="G878" s="17"/>
      <c r="H878" s="17"/>
    </row>
    <row r="879">
      <c r="A879" s="17"/>
      <c r="B879" s="17"/>
      <c r="C879" s="17"/>
      <c r="D879" s="17"/>
      <c r="E879" s="17"/>
      <c r="F879" s="295"/>
      <c r="G879" s="17"/>
      <c r="H879" s="17"/>
    </row>
    <row r="880">
      <c r="A880" s="17"/>
      <c r="B880" s="17"/>
      <c r="C880" s="17"/>
      <c r="D880" s="17"/>
      <c r="E880" s="17"/>
      <c r="F880" s="295"/>
      <c r="G880" s="17"/>
      <c r="H880" s="17"/>
    </row>
    <row r="881">
      <c r="A881" s="17"/>
      <c r="B881" s="17"/>
      <c r="C881" s="17"/>
      <c r="D881" s="17"/>
      <c r="E881" s="17"/>
      <c r="F881" s="295"/>
      <c r="G881" s="17"/>
      <c r="H881" s="17"/>
    </row>
    <row r="882">
      <c r="A882" s="17"/>
      <c r="B882" s="17"/>
      <c r="C882" s="17"/>
      <c r="D882" s="17"/>
      <c r="E882" s="17"/>
      <c r="F882" s="295"/>
      <c r="G882" s="17"/>
      <c r="H882" s="17"/>
    </row>
    <row r="883">
      <c r="A883" s="17"/>
      <c r="B883" s="17"/>
      <c r="C883" s="17"/>
      <c r="D883" s="17"/>
      <c r="E883" s="17"/>
      <c r="F883" s="295"/>
      <c r="G883" s="17"/>
      <c r="H883" s="17"/>
    </row>
    <row r="884">
      <c r="A884" s="17"/>
      <c r="B884" s="17"/>
      <c r="C884" s="17"/>
      <c r="D884" s="17"/>
      <c r="E884" s="17"/>
      <c r="F884" s="295"/>
      <c r="G884" s="17"/>
      <c r="H884" s="17"/>
    </row>
    <row r="885">
      <c r="A885" s="17"/>
      <c r="B885" s="17"/>
      <c r="C885" s="17"/>
      <c r="D885" s="17"/>
      <c r="E885" s="17"/>
      <c r="F885" s="295"/>
      <c r="G885" s="17"/>
      <c r="H885" s="17"/>
    </row>
    <row r="886">
      <c r="A886" s="17"/>
      <c r="B886" s="17"/>
      <c r="C886" s="17"/>
      <c r="D886" s="17"/>
      <c r="E886" s="17"/>
      <c r="F886" s="295"/>
      <c r="G886" s="17"/>
      <c r="H886" s="17"/>
    </row>
    <row r="887">
      <c r="A887" s="17"/>
      <c r="B887" s="17"/>
      <c r="C887" s="17"/>
      <c r="D887" s="17"/>
      <c r="E887" s="17"/>
      <c r="F887" s="295"/>
      <c r="G887" s="17"/>
      <c r="H887" s="17"/>
    </row>
    <row r="888">
      <c r="A888" s="17"/>
      <c r="B888" s="17"/>
      <c r="C888" s="17"/>
      <c r="D888" s="17"/>
      <c r="E888" s="17"/>
      <c r="F888" s="295"/>
      <c r="G888" s="17"/>
      <c r="H888" s="17"/>
    </row>
    <row r="889">
      <c r="A889" s="17"/>
      <c r="B889" s="17"/>
      <c r="C889" s="17"/>
      <c r="D889" s="17"/>
      <c r="E889" s="17"/>
      <c r="F889" s="295"/>
      <c r="G889" s="17"/>
      <c r="H889" s="17"/>
    </row>
    <row r="890">
      <c r="A890" s="17"/>
      <c r="B890" s="17"/>
      <c r="C890" s="17"/>
      <c r="D890" s="17"/>
      <c r="E890" s="17"/>
      <c r="F890" s="295"/>
      <c r="G890" s="17"/>
      <c r="H890" s="17"/>
    </row>
    <row r="891">
      <c r="A891" s="17"/>
      <c r="B891" s="17"/>
      <c r="C891" s="17"/>
      <c r="D891" s="17"/>
      <c r="E891" s="17"/>
      <c r="F891" s="295"/>
      <c r="G891" s="17"/>
      <c r="H891" s="17"/>
    </row>
    <row r="892">
      <c r="A892" s="17"/>
      <c r="B892" s="17"/>
      <c r="C892" s="17"/>
      <c r="D892" s="17"/>
      <c r="E892" s="17"/>
      <c r="F892" s="295"/>
      <c r="G892" s="17"/>
      <c r="H892" s="17"/>
    </row>
    <row r="893">
      <c r="A893" s="17"/>
      <c r="B893" s="17"/>
      <c r="C893" s="17"/>
      <c r="D893" s="17"/>
      <c r="E893" s="17"/>
      <c r="F893" s="295"/>
      <c r="G893" s="17"/>
      <c r="H893" s="17"/>
    </row>
    <row r="894">
      <c r="A894" s="17"/>
      <c r="B894" s="17"/>
      <c r="C894" s="17"/>
      <c r="D894" s="17"/>
      <c r="E894" s="17"/>
      <c r="F894" s="295"/>
      <c r="G894" s="17"/>
      <c r="H894" s="17"/>
    </row>
    <row r="895">
      <c r="A895" s="17"/>
      <c r="B895" s="17"/>
      <c r="C895" s="17"/>
      <c r="D895" s="17"/>
      <c r="E895" s="17"/>
      <c r="F895" s="295"/>
      <c r="G895" s="17"/>
      <c r="H895" s="17"/>
    </row>
    <row r="896">
      <c r="A896" s="17"/>
      <c r="B896" s="17"/>
      <c r="C896" s="17"/>
      <c r="D896" s="17"/>
      <c r="E896" s="17"/>
      <c r="F896" s="295"/>
      <c r="G896" s="17"/>
      <c r="H896" s="17"/>
    </row>
    <row r="897">
      <c r="A897" s="17"/>
      <c r="B897" s="17"/>
      <c r="C897" s="17"/>
      <c r="D897" s="17"/>
      <c r="E897" s="17"/>
      <c r="F897" s="295"/>
      <c r="G897" s="17"/>
      <c r="H897" s="17"/>
    </row>
    <row r="898">
      <c r="A898" s="17"/>
      <c r="B898" s="17"/>
      <c r="C898" s="17"/>
      <c r="D898" s="17"/>
      <c r="E898" s="17"/>
      <c r="F898" s="295"/>
      <c r="G898" s="17"/>
      <c r="H898" s="17"/>
    </row>
    <row r="899">
      <c r="A899" s="17"/>
      <c r="B899" s="17"/>
      <c r="C899" s="17"/>
      <c r="D899" s="17"/>
      <c r="E899" s="17"/>
      <c r="F899" s="295"/>
      <c r="G899" s="17"/>
      <c r="H899" s="17"/>
    </row>
    <row r="900">
      <c r="A900" s="17"/>
      <c r="B900" s="17"/>
      <c r="C900" s="17"/>
      <c r="D900" s="17"/>
      <c r="E900" s="17"/>
      <c r="F900" s="295"/>
      <c r="G900" s="17"/>
      <c r="H900" s="17"/>
    </row>
    <row r="901">
      <c r="A901" s="17"/>
      <c r="B901" s="17"/>
      <c r="C901" s="17"/>
      <c r="D901" s="17"/>
      <c r="E901" s="17"/>
      <c r="F901" s="295"/>
      <c r="G901" s="17"/>
      <c r="H901" s="17"/>
    </row>
    <row r="902">
      <c r="A902" s="17"/>
      <c r="B902" s="17"/>
      <c r="C902" s="17"/>
      <c r="D902" s="17"/>
      <c r="E902" s="17"/>
      <c r="F902" s="295"/>
      <c r="G902" s="17"/>
      <c r="H902" s="17"/>
    </row>
    <row r="903">
      <c r="A903" s="17"/>
      <c r="B903" s="17"/>
      <c r="C903" s="17"/>
      <c r="D903" s="17"/>
      <c r="E903" s="17"/>
      <c r="F903" s="295"/>
      <c r="G903" s="17"/>
      <c r="H903" s="17"/>
    </row>
    <row r="904">
      <c r="A904" s="17"/>
      <c r="B904" s="17"/>
      <c r="C904" s="17"/>
      <c r="D904" s="17"/>
      <c r="E904" s="17"/>
      <c r="F904" s="295"/>
      <c r="G904" s="17"/>
      <c r="H904" s="17"/>
    </row>
    <row r="905">
      <c r="A905" s="17"/>
      <c r="B905" s="17"/>
      <c r="C905" s="17"/>
      <c r="D905" s="17"/>
      <c r="E905" s="17"/>
      <c r="F905" s="295"/>
      <c r="G905" s="17"/>
      <c r="H905" s="17"/>
    </row>
    <row r="906">
      <c r="A906" s="17"/>
      <c r="B906" s="17"/>
      <c r="C906" s="17"/>
      <c r="D906" s="17"/>
      <c r="E906" s="17"/>
      <c r="F906" s="295"/>
      <c r="G906" s="17"/>
      <c r="H906" s="17"/>
    </row>
    <row r="907">
      <c r="A907" s="17"/>
      <c r="B907" s="17"/>
      <c r="C907" s="17"/>
      <c r="D907" s="17"/>
      <c r="E907" s="17"/>
      <c r="F907" s="295"/>
      <c r="G907" s="17"/>
      <c r="H907" s="17"/>
    </row>
    <row r="908">
      <c r="A908" s="17"/>
      <c r="B908" s="17"/>
      <c r="C908" s="17"/>
      <c r="D908" s="17"/>
      <c r="E908" s="17"/>
      <c r="F908" s="295"/>
      <c r="G908" s="17"/>
      <c r="H908" s="17"/>
    </row>
    <row r="909">
      <c r="A909" s="17"/>
      <c r="B909" s="17"/>
      <c r="C909" s="17"/>
      <c r="D909" s="17"/>
      <c r="E909" s="17"/>
      <c r="F909" s="295"/>
      <c r="G909" s="17"/>
      <c r="H909" s="17"/>
    </row>
    <row r="910">
      <c r="A910" s="17"/>
      <c r="B910" s="17"/>
      <c r="C910" s="17"/>
      <c r="D910" s="17"/>
      <c r="E910" s="17"/>
      <c r="F910" s="295"/>
      <c r="G910" s="17"/>
      <c r="H910" s="17"/>
    </row>
    <row r="911">
      <c r="A911" s="17"/>
      <c r="B911" s="17"/>
      <c r="C911" s="17"/>
      <c r="D911" s="17"/>
      <c r="E911" s="17"/>
      <c r="F911" s="295"/>
      <c r="G911" s="17"/>
      <c r="H911" s="17"/>
    </row>
    <row r="912">
      <c r="A912" s="17"/>
      <c r="B912" s="17"/>
      <c r="C912" s="17"/>
      <c r="D912" s="17"/>
      <c r="E912" s="17"/>
      <c r="F912" s="295"/>
      <c r="G912" s="17"/>
      <c r="H912" s="17"/>
    </row>
    <row r="913">
      <c r="A913" s="17"/>
      <c r="B913" s="17"/>
      <c r="C913" s="17"/>
      <c r="D913" s="17"/>
      <c r="E913" s="17"/>
      <c r="F913" s="295"/>
      <c r="G913" s="17"/>
      <c r="H913" s="17"/>
    </row>
    <row r="914">
      <c r="A914" s="17"/>
      <c r="B914" s="17"/>
      <c r="C914" s="17"/>
      <c r="D914" s="17"/>
      <c r="E914" s="17"/>
      <c r="F914" s="295"/>
      <c r="G914" s="17"/>
      <c r="H914" s="17"/>
    </row>
    <row r="915">
      <c r="A915" s="17"/>
      <c r="B915" s="17"/>
      <c r="C915" s="17"/>
      <c r="D915" s="17"/>
      <c r="E915" s="17"/>
      <c r="F915" s="295"/>
      <c r="G915" s="17"/>
      <c r="H915" s="17"/>
    </row>
    <row r="916">
      <c r="A916" s="17"/>
      <c r="B916" s="17"/>
      <c r="C916" s="17"/>
      <c r="D916" s="17"/>
      <c r="E916" s="17"/>
      <c r="F916" s="295"/>
      <c r="G916" s="17"/>
      <c r="H916" s="17"/>
    </row>
    <row r="917">
      <c r="A917" s="17"/>
      <c r="B917" s="17"/>
      <c r="C917" s="17"/>
      <c r="D917" s="17"/>
      <c r="E917" s="17"/>
      <c r="F917" s="295"/>
      <c r="G917" s="17"/>
      <c r="H917" s="17"/>
    </row>
    <row r="918">
      <c r="A918" s="17"/>
      <c r="B918" s="17"/>
      <c r="C918" s="17"/>
      <c r="D918" s="17"/>
      <c r="E918" s="17"/>
      <c r="F918" s="295"/>
      <c r="G918" s="17"/>
      <c r="H918" s="17"/>
    </row>
    <row r="919">
      <c r="A919" s="17"/>
      <c r="B919" s="17"/>
      <c r="C919" s="17"/>
      <c r="D919" s="17"/>
      <c r="E919" s="17"/>
      <c r="F919" s="295"/>
      <c r="G919" s="17"/>
      <c r="H919" s="17"/>
    </row>
    <row r="920">
      <c r="A920" s="17"/>
      <c r="B920" s="17"/>
      <c r="C920" s="17"/>
      <c r="D920" s="17"/>
      <c r="E920" s="17"/>
      <c r="F920" s="295"/>
      <c r="G920" s="17"/>
      <c r="H920" s="17"/>
    </row>
    <row r="921">
      <c r="A921" s="17"/>
      <c r="B921" s="17"/>
      <c r="C921" s="17"/>
      <c r="D921" s="17"/>
      <c r="E921" s="17"/>
      <c r="F921" s="295"/>
      <c r="G921" s="17"/>
      <c r="H921" s="17"/>
    </row>
    <row r="922">
      <c r="A922" s="17"/>
      <c r="B922" s="17"/>
      <c r="C922" s="17"/>
      <c r="D922" s="17"/>
      <c r="E922" s="17"/>
      <c r="F922" s="295"/>
      <c r="G922" s="17"/>
      <c r="H922" s="17"/>
    </row>
    <row r="923">
      <c r="A923" s="17"/>
      <c r="B923" s="17"/>
      <c r="C923" s="17"/>
      <c r="D923" s="17"/>
      <c r="E923" s="17"/>
      <c r="F923" s="295"/>
      <c r="G923" s="17"/>
      <c r="H923" s="17"/>
    </row>
    <row r="924">
      <c r="A924" s="17"/>
      <c r="B924" s="17"/>
      <c r="C924" s="17"/>
      <c r="D924" s="17"/>
      <c r="E924" s="17"/>
      <c r="F924" s="295"/>
      <c r="G924" s="17"/>
      <c r="H924" s="17"/>
    </row>
    <row r="925">
      <c r="A925" s="17"/>
      <c r="B925" s="17"/>
      <c r="C925" s="17"/>
      <c r="D925" s="17"/>
      <c r="E925" s="17"/>
      <c r="F925" s="295"/>
      <c r="G925" s="17"/>
      <c r="H925" s="17"/>
    </row>
    <row r="926">
      <c r="A926" s="17"/>
      <c r="B926" s="17"/>
      <c r="C926" s="17"/>
      <c r="D926" s="17"/>
      <c r="E926" s="17"/>
      <c r="F926" s="295"/>
      <c r="G926" s="17"/>
      <c r="H926" s="17"/>
    </row>
    <row r="927">
      <c r="A927" s="17"/>
      <c r="B927" s="17"/>
      <c r="C927" s="17"/>
      <c r="D927" s="17"/>
      <c r="E927" s="17"/>
      <c r="F927" s="295"/>
      <c r="G927" s="17"/>
      <c r="H927" s="17"/>
    </row>
    <row r="928">
      <c r="A928" s="17"/>
      <c r="B928" s="17"/>
      <c r="C928" s="17"/>
      <c r="D928" s="17"/>
      <c r="E928" s="17"/>
      <c r="F928" s="295"/>
      <c r="G928" s="17"/>
      <c r="H928" s="17"/>
    </row>
    <row r="929">
      <c r="A929" s="17"/>
      <c r="B929" s="17"/>
      <c r="C929" s="17"/>
      <c r="D929" s="17"/>
      <c r="E929" s="17"/>
      <c r="F929" s="295"/>
      <c r="G929" s="17"/>
      <c r="H929" s="17"/>
    </row>
    <row r="930">
      <c r="A930" s="17"/>
      <c r="B930" s="17"/>
      <c r="C930" s="17"/>
      <c r="D930" s="17"/>
      <c r="E930" s="17"/>
      <c r="F930" s="295"/>
      <c r="G930" s="17"/>
      <c r="H930" s="17"/>
    </row>
    <row r="931">
      <c r="A931" s="17"/>
      <c r="B931" s="17"/>
      <c r="C931" s="17"/>
      <c r="D931" s="17"/>
      <c r="E931" s="17"/>
      <c r="F931" s="295"/>
      <c r="G931" s="17"/>
      <c r="H931" s="17"/>
    </row>
    <row r="932">
      <c r="A932" s="17"/>
      <c r="B932" s="17"/>
      <c r="C932" s="17"/>
      <c r="D932" s="17"/>
      <c r="E932" s="17"/>
      <c r="F932" s="295"/>
      <c r="G932" s="17"/>
      <c r="H932" s="17"/>
    </row>
    <row r="933">
      <c r="A933" s="17"/>
      <c r="B933" s="17"/>
      <c r="C933" s="17"/>
      <c r="D933" s="17"/>
      <c r="E933" s="17"/>
      <c r="F933" s="295"/>
      <c r="G933" s="17"/>
      <c r="H933" s="17"/>
    </row>
    <row r="934">
      <c r="A934" s="17"/>
      <c r="B934" s="17"/>
      <c r="C934" s="17"/>
      <c r="D934" s="17"/>
      <c r="E934" s="17"/>
      <c r="F934" s="295"/>
      <c r="G934" s="17"/>
      <c r="H934" s="17"/>
    </row>
    <row r="935">
      <c r="A935" s="17"/>
      <c r="B935" s="17"/>
      <c r="C935" s="17"/>
      <c r="D935" s="17"/>
      <c r="E935" s="17"/>
      <c r="F935" s="295"/>
      <c r="G935" s="17"/>
      <c r="H935" s="17"/>
    </row>
    <row r="936">
      <c r="A936" s="17"/>
      <c r="B936" s="17"/>
      <c r="C936" s="17"/>
      <c r="D936" s="17"/>
      <c r="E936" s="17"/>
      <c r="F936" s="295"/>
      <c r="G936" s="17"/>
      <c r="H936" s="17"/>
    </row>
    <row r="937">
      <c r="A937" s="17"/>
      <c r="B937" s="17"/>
      <c r="C937" s="17"/>
      <c r="D937" s="17"/>
      <c r="E937" s="17"/>
      <c r="F937" s="295"/>
      <c r="G937" s="17"/>
      <c r="H937" s="17"/>
    </row>
    <row r="938">
      <c r="A938" s="17"/>
      <c r="B938" s="17"/>
      <c r="C938" s="17"/>
      <c r="D938" s="17"/>
      <c r="E938" s="17"/>
      <c r="F938" s="295"/>
      <c r="G938" s="17"/>
      <c r="H938" s="17"/>
    </row>
    <row r="939">
      <c r="A939" s="17"/>
      <c r="B939" s="17"/>
      <c r="C939" s="17"/>
      <c r="D939" s="17"/>
      <c r="E939" s="17"/>
      <c r="F939" s="295"/>
      <c r="G939" s="17"/>
      <c r="H939" s="17"/>
    </row>
    <row r="940">
      <c r="A940" s="17"/>
      <c r="B940" s="17"/>
      <c r="C940" s="17"/>
      <c r="D940" s="17"/>
      <c r="E940" s="17"/>
      <c r="F940" s="295"/>
      <c r="G940" s="17"/>
      <c r="H940" s="17"/>
    </row>
    <row r="941">
      <c r="A941" s="17"/>
      <c r="B941" s="17"/>
      <c r="C941" s="17"/>
      <c r="D941" s="17"/>
      <c r="E941" s="17"/>
      <c r="F941" s="295"/>
      <c r="G941" s="17"/>
      <c r="H941" s="17"/>
    </row>
    <row r="942">
      <c r="A942" s="17"/>
      <c r="B942" s="17"/>
      <c r="C942" s="17"/>
      <c r="D942" s="17"/>
      <c r="E942" s="17"/>
      <c r="F942" s="295"/>
      <c r="G942" s="17"/>
      <c r="H942" s="17"/>
    </row>
    <row r="943">
      <c r="A943" s="17"/>
      <c r="B943" s="17"/>
      <c r="C943" s="17"/>
      <c r="D943" s="17"/>
      <c r="E943" s="17"/>
      <c r="F943" s="295"/>
      <c r="G943" s="17"/>
      <c r="H943" s="17"/>
    </row>
    <row r="944">
      <c r="A944" s="17"/>
      <c r="B944" s="17"/>
      <c r="C944" s="17"/>
      <c r="D944" s="17"/>
      <c r="E944" s="17"/>
      <c r="F944" s="295"/>
      <c r="G944" s="17"/>
      <c r="H944" s="17"/>
    </row>
    <row r="945">
      <c r="A945" s="17"/>
      <c r="B945" s="17"/>
      <c r="C945" s="17"/>
      <c r="D945" s="17"/>
      <c r="E945" s="17"/>
      <c r="F945" s="295"/>
      <c r="G945" s="17"/>
      <c r="H945" s="17"/>
    </row>
    <row r="946">
      <c r="A946" s="17"/>
      <c r="B946" s="17"/>
      <c r="C946" s="17"/>
      <c r="D946" s="17"/>
      <c r="E946" s="17"/>
      <c r="F946" s="295"/>
      <c r="G946" s="17"/>
      <c r="H946" s="17"/>
    </row>
    <row r="947">
      <c r="A947" s="17"/>
      <c r="B947" s="17"/>
      <c r="C947" s="17"/>
      <c r="D947" s="17"/>
      <c r="E947" s="17"/>
      <c r="F947" s="295"/>
      <c r="G947" s="17"/>
      <c r="H947" s="17"/>
    </row>
    <row r="948">
      <c r="A948" s="17"/>
      <c r="B948" s="17"/>
      <c r="C948" s="17"/>
      <c r="D948" s="17"/>
      <c r="E948" s="17"/>
      <c r="F948" s="295"/>
      <c r="G948" s="17"/>
      <c r="H948" s="17"/>
    </row>
    <row r="949">
      <c r="A949" s="17"/>
      <c r="B949" s="17"/>
      <c r="C949" s="17"/>
      <c r="D949" s="17"/>
      <c r="E949" s="17"/>
      <c r="F949" s="295"/>
      <c r="G949" s="17"/>
      <c r="H949" s="17"/>
    </row>
    <row r="950">
      <c r="A950" s="17"/>
      <c r="B950" s="17"/>
      <c r="C950" s="17"/>
      <c r="D950" s="17"/>
      <c r="E950" s="17"/>
      <c r="F950" s="295"/>
      <c r="G950" s="17"/>
      <c r="H950" s="17"/>
    </row>
    <row r="951">
      <c r="A951" s="17"/>
      <c r="B951" s="17"/>
      <c r="C951" s="17"/>
      <c r="D951" s="17"/>
      <c r="E951" s="17"/>
      <c r="F951" s="295"/>
      <c r="G951" s="17"/>
      <c r="H951" s="17"/>
    </row>
    <row r="952">
      <c r="A952" s="17"/>
      <c r="B952" s="17"/>
      <c r="C952" s="17"/>
      <c r="D952" s="17"/>
      <c r="E952" s="17"/>
      <c r="F952" s="295"/>
      <c r="G952" s="17"/>
      <c r="H952" s="17"/>
    </row>
    <row r="953">
      <c r="A953" s="17"/>
      <c r="B953" s="17"/>
      <c r="C953" s="17"/>
      <c r="D953" s="17"/>
      <c r="E953" s="17"/>
      <c r="F953" s="295"/>
      <c r="G953" s="17"/>
      <c r="H953" s="17"/>
    </row>
    <row r="954">
      <c r="A954" s="17"/>
      <c r="B954" s="17"/>
      <c r="C954" s="17"/>
      <c r="D954" s="17"/>
      <c r="E954" s="17"/>
      <c r="F954" s="295"/>
      <c r="G954" s="17"/>
      <c r="H954" s="17"/>
    </row>
    <row r="955">
      <c r="A955" s="17"/>
      <c r="B955" s="17"/>
      <c r="C955" s="17"/>
      <c r="D955" s="17"/>
      <c r="E955" s="17"/>
      <c r="F955" s="295"/>
      <c r="G955" s="17"/>
      <c r="H955" s="17"/>
    </row>
    <row r="956">
      <c r="A956" s="17"/>
      <c r="B956" s="17"/>
      <c r="C956" s="17"/>
      <c r="D956" s="17"/>
      <c r="E956" s="17"/>
      <c r="F956" s="295"/>
      <c r="G956" s="17"/>
      <c r="H956" s="17"/>
    </row>
    <row r="957">
      <c r="A957" s="17"/>
      <c r="B957" s="17"/>
      <c r="C957" s="17"/>
      <c r="D957" s="17"/>
      <c r="E957" s="17"/>
      <c r="F957" s="295"/>
      <c r="G957" s="17"/>
      <c r="H957" s="17"/>
    </row>
    <row r="958">
      <c r="A958" s="17"/>
      <c r="B958" s="17"/>
      <c r="C958" s="17"/>
      <c r="D958" s="17"/>
      <c r="E958" s="17"/>
      <c r="F958" s="295"/>
      <c r="G958" s="17"/>
      <c r="H958" s="17"/>
    </row>
    <row r="959">
      <c r="A959" s="17"/>
      <c r="B959" s="17"/>
      <c r="C959" s="17"/>
      <c r="D959" s="17"/>
      <c r="E959" s="17"/>
      <c r="F959" s="295"/>
      <c r="G959" s="17"/>
      <c r="H959" s="17"/>
    </row>
    <row r="960">
      <c r="A960" s="17"/>
      <c r="B960" s="17"/>
      <c r="C960" s="17"/>
      <c r="D960" s="17"/>
      <c r="E960" s="17"/>
      <c r="F960" s="295"/>
      <c r="G960" s="17"/>
      <c r="H960" s="17"/>
    </row>
    <row r="961">
      <c r="A961" s="17"/>
      <c r="B961" s="17"/>
      <c r="C961" s="17"/>
      <c r="D961" s="17"/>
      <c r="E961" s="17"/>
      <c r="F961" s="295"/>
      <c r="G961" s="17"/>
      <c r="H961" s="17"/>
    </row>
    <row r="962">
      <c r="A962" s="17"/>
      <c r="B962" s="17"/>
      <c r="C962" s="17"/>
      <c r="D962" s="17"/>
      <c r="E962" s="17"/>
      <c r="F962" s="295"/>
      <c r="G962" s="17"/>
      <c r="H962" s="17"/>
    </row>
    <row r="963">
      <c r="A963" s="17"/>
      <c r="B963" s="17"/>
      <c r="C963" s="17"/>
      <c r="D963" s="17"/>
      <c r="E963" s="17"/>
      <c r="F963" s="295"/>
      <c r="G963" s="17"/>
      <c r="H963" s="17"/>
    </row>
    <row r="964">
      <c r="A964" s="17"/>
      <c r="B964" s="17"/>
      <c r="C964" s="17"/>
      <c r="D964" s="17"/>
      <c r="E964" s="17"/>
      <c r="F964" s="295"/>
      <c r="G964" s="17"/>
      <c r="H964" s="17"/>
    </row>
    <row r="965">
      <c r="A965" s="17"/>
      <c r="B965" s="17"/>
      <c r="C965" s="17"/>
      <c r="D965" s="17"/>
      <c r="E965" s="17"/>
      <c r="F965" s="295"/>
      <c r="G965" s="17"/>
      <c r="H965" s="17"/>
    </row>
    <row r="966">
      <c r="A966" s="17"/>
      <c r="B966" s="17"/>
      <c r="C966" s="17"/>
      <c r="D966" s="17"/>
      <c r="E966" s="17"/>
      <c r="F966" s="295"/>
      <c r="G966" s="17"/>
      <c r="H966" s="17"/>
    </row>
    <row r="967">
      <c r="A967" s="17"/>
      <c r="B967" s="17"/>
      <c r="C967" s="17"/>
      <c r="D967" s="17"/>
      <c r="E967" s="17"/>
      <c r="F967" s="295"/>
      <c r="G967" s="17"/>
      <c r="H967" s="17"/>
    </row>
    <row r="968">
      <c r="A968" s="17"/>
      <c r="B968" s="17"/>
      <c r="C968" s="17"/>
      <c r="D968" s="17"/>
      <c r="E968" s="17"/>
      <c r="F968" s="295"/>
      <c r="G968" s="17"/>
      <c r="H968" s="17"/>
    </row>
    <row r="969">
      <c r="A969" s="17"/>
      <c r="B969" s="17"/>
      <c r="C969" s="17"/>
      <c r="D969" s="17"/>
      <c r="E969" s="17"/>
      <c r="F969" s="295"/>
      <c r="G969" s="17"/>
      <c r="H969" s="17"/>
    </row>
    <row r="970">
      <c r="A970" s="17"/>
      <c r="B970" s="17"/>
      <c r="C970" s="17"/>
      <c r="D970" s="17"/>
      <c r="E970" s="17"/>
      <c r="F970" s="295"/>
      <c r="G970" s="17"/>
      <c r="H970" s="17"/>
    </row>
    <row r="971">
      <c r="A971" s="17"/>
      <c r="B971" s="17"/>
      <c r="C971" s="17"/>
      <c r="D971" s="17"/>
      <c r="E971" s="17"/>
      <c r="F971" s="295"/>
      <c r="G971" s="17"/>
      <c r="H971" s="17"/>
    </row>
    <row r="972">
      <c r="A972" s="17"/>
      <c r="B972" s="17"/>
      <c r="C972" s="17"/>
      <c r="D972" s="17"/>
      <c r="E972" s="17"/>
      <c r="F972" s="295"/>
      <c r="G972" s="17"/>
      <c r="H972" s="17"/>
    </row>
    <row r="973">
      <c r="A973" s="17"/>
      <c r="B973" s="17"/>
      <c r="C973" s="17"/>
      <c r="D973" s="17"/>
      <c r="E973" s="17"/>
      <c r="F973" s="295"/>
      <c r="G973" s="17"/>
      <c r="H973" s="17"/>
    </row>
    <row r="974">
      <c r="A974" s="17"/>
      <c r="B974" s="17"/>
      <c r="C974" s="17"/>
      <c r="D974" s="17"/>
      <c r="E974" s="17"/>
      <c r="F974" s="295"/>
      <c r="G974" s="17"/>
      <c r="H974" s="17"/>
    </row>
    <row r="975">
      <c r="A975" s="17"/>
      <c r="B975" s="17"/>
      <c r="C975" s="17"/>
      <c r="D975" s="17"/>
      <c r="E975" s="17"/>
      <c r="F975" s="295"/>
      <c r="G975" s="17"/>
      <c r="H975" s="17"/>
    </row>
    <row r="976">
      <c r="A976" s="17"/>
      <c r="B976" s="17"/>
      <c r="C976" s="17"/>
      <c r="D976" s="17"/>
      <c r="E976" s="17"/>
      <c r="F976" s="295"/>
      <c r="G976" s="17"/>
      <c r="H976" s="17"/>
    </row>
    <row r="977">
      <c r="A977" s="17"/>
      <c r="B977" s="17"/>
      <c r="C977" s="17"/>
      <c r="D977" s="17"/>
      <c r="E977" s="17"/>
      <c r="F977" s="295"/>
      <c r="G977" s="17"/>
      <c r="H977" s="17"/>
    </row>
    <row r="978">
      <c r="A978" s="17"/>
      <c r="B978" s="17"/>
      <c r="C978" s="17"/>
      <c r="D978" s="17"/>
      <c r="E978" s="17"/>
      <c r="F978" s="295"/>
      <c r="G978" s="17"/>
      <c r="H978" s="17"/>
    </row>
    <row r="979">
      <c r="A979" s="17"/>
      <c r="B979" s="17"/>
      <c r="C979" s="17"/>
      <c r="D979" s="17"/>
      <c r="E979" s="17"/>
      <c r="F979" s="295"/>
      <c r="G979" s="17"/>
      <c r="H979" s="17"/>
    </row>
    <row r="980">
      <c r="A980" s="17"/>
      <c r="B980" s="17"/>
      <c r="C980" s="17"/>
      <c r="D980" s="17"/>
      <c r="E980" s="17"/>
      <c r="F980" s="295"/>
      <c r="G980" s="17"/>
      <c r="H980" s="17"/>
    </row>
    <row r="981">
      <c r="A981" s="17"/>
      <c r="B981" s="17"/>
      <c r="C981" s="17"/>
      <c r="D981" s="17"/>
      <c r="E981" s="17"/>
      <c r="F981" s="295"/>
      <c r="G981" s="17"/>
      <c r="H981" s="17"/>
    </row>
    <row r="982">
      <c r="A982" s="17"/>
      <c r="B982" s="17"/>
      <c r="C982" s="17"/>
      <c r="D982" s="17"/>
      <c r="E982" s="17"/>
      <c r="F982" s="295"/>
      <c r="G982" s="17"/>
      <c r="H982" s="17"/>
    </row>
    <row r="983">
      <c r="A983" s="17"/>
      <c r="B983" s="17"/>
      <c r="C983" s="17"/>
      <c r="D983" s="17"/>
      <c r="E983" s="17"/>
      <c r="F983" s="295"/>
      <c r="G983" s="17"/>
      <c r="H983" s="17"/>
    </row>
    <row r="984">
      <c r="A984" s="17"/>
      <c r="B984" s="17"/>
      <c r="C984" s="17"/>
      <c r="D984" s="17"/>
      <c r="E984" s="17"/>
      <c r="F984" s="295"/>
      <c r="G984" s="17"/>
      <c r="H984" s="17"/>
    </row>
    <row r="985">
      <c r="A985" s="17"/>
      <c r="B985" s="17"/>
      <c r="C985" s="17"/>
      <c r="D985" s="17"/>
      <c r="E985" s="17"/>
      <c r="F985" s="295"/>
      <c r="G985" s="17"/>
      <c r="H985" s="17"/>
    </row>
    <row r="986">
      <c r="A986" s="17"/>
      <c r="B986" s="17"/>
      <c r="C986" s="17"/>
      <c r="D986" s="17"/>
      <c r="E986" s="17"/>
      <c r="F986" s="295"/>
      <c r="G986" s="17"/>
      <c r="H986" s="17"/>
    </row>
    <row r="987">
      <c r="A987" s="17"/>
      <c r="B987" s="17"/>
      <c r="C987" s="17"/>
      <c r="D987" s="17"/>
      <c r="E987" s="17"/>
      <c r="F987" s="295"/>
      <c r="G987" s="17"/>
      <c r="H987" s="17"/>
    </row>
    <row r="988">
      <c r="A988" s="17"/>
      <c r="B988" s="17"/>
      <c r="C988" s="17"/>
      <c r="D988" s="17"/>
      <c r="E988" s="17"/>
      <c r="F988" s="295"/>
      <c r="G988" s="17"/>
      <c r="H988" s="17"/>
    </row>
    <row r="989">
      <c r="A989" s="17"/>
      <c r="B989" s="17"/>
      <c r="C989" s="17"/>
      <c r="D989" s="17"/>
      <c r="E989" s="17"/>
      <c r="F989" s="295"/>
      <c r="G989" s="17"/>
      <c r="H989" s="17"/>
    </row>
    <row r="990">
      <c r="A990" s="17"/>
      <c r="B990" s="17"/>
      <c r="C990" s="17"/>
      <c r="D990" s="17"/>
      <c r="E990" s="17"/>
      <c r="F990" s="295"/>
      <c r="G990" s="17"/>
      <c r="H990" s="17"/>
    </row>
    <row r="991">
      <c r="A991" s="17"/>
      <c r="B991" s="17"/>
      <c r="C991" s="17"/>
      <c r="D991" s="17"/>
      <c r="E991" s="17"/>
      <c r="F991" s="295"/>
      <c r="G991" s="17"/>
      <c r="H991" s="17"/>
    </row>
    <row r="992">
      <c r="A992" s="17"/>
      <c r="B992" s="17"/>
      <c r="C992" s="17"/>
      <c r="D992" s="17"/>
      <c r="E992" s="17"/>
      <c r="F992" s="295"/>
      <c r="G992" s="17"/>
      <c r="H992" s="17"/>
    </row>
    <row r="993">
      <c r="A993" s="17"/>
      <c r="B993" s="17"/>
      <c r="C993" s="17"/>
      <c r="D993" s="17"/>
      <c r="E993" s="17"/>
      <c r="F993" s="295"/>
      <c r="G993" s="17"/>
      <c r="H993" s="17"/>
    </row>
    <row r="994">
      <c r="A994" s="17"/>
      <c r="B994" s="17"/>
      <c r="C994" s="17"/>
      <c r="D994" s="17"/>
      <c r="E994" s="17"/>
      <c r="F994" s="295"/>
      <c r="G994" s="17"/>
      <c r="H994" s="17"/>
    </row>
    <row r="995">
      <c r="A995" s="17"/>
      <c r="B995" s="17"/>
      <c r="C995" s="17"/>
      <c r="D995" s="17"/>
      <c r="E995" s="17"/>
      <c r="F995" s="295"/>
      <c r="G995" s="17"/>
      <c r="H995" s="17"/>
    </row>
    <row r="996">
      <c r="A996" s="17"/>
      <c r="B996" s="17"/>
      <c r="C996" s="17"/>
      <c r="D996" s="17"/>
      <c r="E996" s="17"/>
      <c r="F996" s="295"/>
      <c r="G996" s="17"/>
      <c r="H996" s="17"/>
    </row>
    <row r="997">
      <c r="A997" s="17"/>
      <c r="B997" s="17"/>
      <c r="C997" s="17"/>
      <c r="D997" s="17"/>
      <c r="E997" s="17"/>
      <c r="F997" s="295"/>
      <c r="G997" s="17"/>
      <c r="H997" s="17"/>
    </row>
    <row r="998">
      <c r="A998" s="17"/>
      <c r="B998" s="17"/>
      <c r="C998" s="17"/>
      <c r="D998" s="17"/>
      <c r="E998" s="17"/>
      <c r="F998" s="295"/>
      <c r="G998" s="17"/>
      <c r="H998" s="17"/>
    </row>
    <row r="999">
      <c r="A999" s="17"/>
      <c r="B999" s="17"/>
      <c r="C999" s="17"/>
      <c r="D999" s="17"/>
      <c r="E999" s="17"/>
      <c r="F999" s="295"/>
      <c r="G999" s="17"/>
      <c r="H999" s="17"/>
    </row>
    <row r="1000">
      <c r="A1000" s="17"/>
      <c r="B1000" s="17"/>
      <c r="C1000" s="17"/>
      <c r="D1000" s="17"/>
      <c r="E1000" s="17"/>
      <c r="F1000" s="295"/>
      <c r="G1000" s="17"/>
      <c r="H1000" s="17"/>
    </row>
  </sheetData>
  <drawing r:id="rId1"/>
</worksheet>
</file>